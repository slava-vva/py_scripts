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dmin\Documents\PowerAutomate\OutlookProject\"/>
    </mc:Choice>
  </mc:AlternateContent>
  <xr:revisionPtr revIDLastSave="0" documentId="13_ncr:1_{ED37EBC9-43E1-41C7-A18A-1502C87B83F1}" xr6:coauthVersionLast="47" xr6:coauthVersionMax="47" xr10:uidLastSave="{00000000-0000-0000-0000-000000000000}"/>
  <bookViews>
    <workbookView xWindow="-110" yWindow="-110" windowWidth="19420" windowHeight="11500" xr2:uid="{00000000-000D-0000-FFFF-FFFF00000000}"/>
  </bookViews>
  <sheets>
    <sheet name="Contractors" sheetId="5" r:id="rId1"/>
    <sheet name="Check list" sheetId="2" r:id="rId2"/>
    <sheet name="Health and Safet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5" l="1"/>
  <c r="M21" i="5"/>
  <c r="K23" i="5"/>
  <c r="K13" i="5"/>
  <c r="K11" i="5"/>
  <c r="K56" i="5"/>
  <c r="K27" i="5"/>
  <c r="K39" i="5"/>
  <c r="K30" i="5"/>
  <c r="K8" i="5"/>
  <c r="K35" i="5"/>
  <c r="O15" i="5"/>
  <c r="J17" i="5"/>
  <c r="K7" i="5"/>
  <c r="K28" i="5"/>
  <c r="K29" i="5"/>
  <c r="K31" i="5"/>
  <c r="K32" i="5"/>
  <c r="K33" i="5"/>
  <c r="K34" i="5"/>
  <c r="K36" i="5"/>
  <c r="K37" i="5"/>
  <c r="K38" i="5"/>
  <c r="K40" i="5"/>
  <c r="K42" i="5"/>
  <c r="K46" i="5"/>
  <c r="K48" i="5"/>
  <c r="K49" i="5"/>
  <c r="K50" i="5"/>
  <c r="K51" i="5"/>
  <c r="K52" i="5"/>
  <c r="K53" i="5"/>
  <c r="K54" i="5"/>
  <c r="K55" i="5"/>
  <c r="K57" i="5"/>
  <c r="K59" i="5"/>
  <c r="K60" i="5"/>
  <c r="K61" i="5"/>
  <c r="K62" i="5"/>
  <c r="K63" i="5"/>
  <c r="K64" i="5"/>
  <c r="K65" i="5"/>
  <c r="K66" i="5"/>
  <c r="K67" i="5"/>
  <c r="K68" i="5"/>
  <c r="K69" i="5"/>
  <c r="K70" i="5"/>
  <c r="K71" i="5"/>
  <c r="K72" i="5"/>
  <c r="K73" i="5"/>
  <c r="K74" i="5"/>
  <c r="K75" i="5"/>
  <c r="K76" i="5"/>
  <c r="K77" i="5"/>
  <c r="K78" i="5"/>
  <c r="K79" i="5"/>
  <c r="K80" i="5"/>
  <c r="K81" i="5"/>
  <c r="K82" i="5"/>
  <c r="K83" i="5"/>
  <c r="K26" i="5"/>
  <c r="K17" i="5"/>
  <c r="K18" i="5"/>
  <c r="K19" i="5"/>
  <c r="K16" i="5"/>
  <c r="K9" i="5"/>
  <c r="K10" i="5"/>
  <c r="K14" i="5"/>
  <c r="K6" i="5"/>
  <c r="J47" i="5"/>
  <c r="K47" i="5" s="1"/>
  <c r="J44" i="5"/>
  <c r="K44" i="5" s="1"/>
  <c r="J45" i="5"/>
  <c r="K45" i="5" s="1"/>
  <c r="J43" i="5"/>
  <c r="K4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tc={1197C90C-DE15-4D51-8504-82449E5C1299}</author>
    <author>tc={5D69E8BD-9DC4-4FBA-B714-7C51B0620E94}</author>
  </authors>
  <commentList>
    <comment ref="L37" authorId="0" shapeId="0" xr:uid="{1197C90C-DE15-4D51-8504-82449E5C1299}">
      <text>
        <t xml:space="preserve">[Threaded comment]
Your version of Excel allows you to read this threaded comment; however, any edits to it will get removed if the file is opened in a newer version of Excel. Learn more: https://go.microsoft.com/fwlink/?linkid=870924
Comment:
    Regards to pricing the doors in this project due to being an apartment there most likely is some Fire Doors.
Do you have a spec or a door schedule available so we can price the doors?
Reply:
    not yet
</t>
      </text>
    </comment>
    <comment ref="L61" authorId="1" shapeId="0" xr:uid="{5D69E8BD-9DC4-4FBA-B714-7C51B0620E94}">
      <text>
        <t xml:space="preserve">[Threaded comment]
Your version of Excel allows you to read this threaded comment; however, any edits to it will get removed if the file is opened in a newer version of Excel. Learn more: https://go.microsoft.com/fwlink/?linkid=870924
Comment:
    Please can you confirm the following requirement you require from us?
This being mostly Block walls with any other timber framing we will do as random supply.
Regards the block work etc what are you after here? will your subbie block layer include this supply of blocks?
The steel reo in blocks and flooring do you want us to arrange a price for this or is this with the subbie, floor layers and block subbie?
I have down to price the windows, roof, doors, garage doors, Trusses, Gib, Cladding and random timber framing etc
Let me know anything else and also above.
Reply:
    Following your questions:
This being mostly Block walls with any other timber framing we will do as random supply.
Regards the block work etc what are you after here? will your subbie block layer include this supply of blocks?
Please supply of blocks
The steel reo in blocks and flooring do you want us to arrange a price for this or is this with the subbie, floor layers and block subbie?
Yes
Also wind Zone , what is it? just can't see this on the plans?
Can you provide quote for high wind zone?
</t>
      </text>
    </comment>
  </commentList>
</comments>
</file>

<file path=xl/sharedStrings.xml><?xml version="1.0" encoding="utf-8"?>
<sst xmlns="http://schemas.openxmlformats.org/spreadsheetml/2006/main" count="428" uniqueCount="305">
  <si>
    <t>Construction site: 1 Petersen Rd, Mt Wellington</t>
  </si>
  <si>
    <t>CONTRACTORS, QUOTES, INVOICES, PAYMENT</t>
  </si>
  <si>
    <t>Item</t>
  </si>
  <si>
    <t>Contractor/Supplier</t>
  </si>
  <si>
    <t>Name</t>
  </si>
  <si>
    <t>Email</t>
  </si>
  <si>
    <t>Date of request</t>
  </si>
  <si>
    <t>Due Date for  Quote</t>
  </si>
  <si>
    <t>Phone</t>
  </si>
  <si>
    <t>Contractor price without GST</t>
  </si>
  <si>
    <t>NEW 
Contractor price without GST</t>
  </si>
  <si>
    <t>Helicon Price</t>
  </si>
  <si>
    <t>Comment</t>
  </si>
  <si>
    <t>Valid date</t>
  </si>
  <si>
    <t>Blocks and bricks</t>
  </si>
  <si>
    <t>Moore Masonry</t>
  </si>
  <si>
    <t>Noel Moore</t>
  </si>
  <si>
    <t>noel@mooremasonry.co.nz</t>
  </si>
  <si>
    <t>16.04.2026</t>
  </si>
  <si>
    <t>28.04.2026</t>
  </si>
  <si>
    <t>Brick + Block</t>
  </si>
  <si>
    <t>Phil Saunders</t>
  </si>
  <si>
    <t>phil@p1bb.co.nz</t>
  </si>
  <si>
    <t>14.04.2026</t>
  </si>
  <si>
    <t>027 712 7425</t>
  </si>
  <si>
    <t>Pricing for 1 Peterson Road as per email 15/08/24</t>
  </si>
  <si>
    <t>Expiry 13 Dec 2024</t>
  </si>
  <si>
    <t>Brillbricklaying</t>
  </si>
  <si>
    <t>Eddie</t>
  </si>
  <si>
    <t>eddie@brillbricklaying.co.nz</t>
  </si>
  <si>
    <t>Blocks, groundworks, foundation</t>
  </si>
  <si>
    <t>Constra</t>
  </si>
  <si>
    <t>eddie@constra.co.nz</t>
  </si>
  <si>
    <t>1. 465435.00
2. 5808.00</t>
  </si>
  <si>
    <t>1.Foundation and Block work quote
2.Earthwork unit rate quote​</t>
  </si>
  <si>
    <t>14/04/2025</t>
  </si>
  <si>
    <t>Earthworks / Foundation/ Retaining walls</t>
  </si>
  <si>
    <t>Procut Earthworks</t>
  </si>
  <si>
    <t>Can</t>
  </si>
  <si>
    <t>Procutearthworks@gmail.com</t>
  </si>
  <si>
    <t>17.04.2026</t>
  </si>
  <si>
    <t>24.04.2026</t>
  </si>
  <si>
    <t>Build2 Ltd</t>
  </si>
  <si>
    <t>Jamie Ritchie</t>
  </si>
  <si>
    <t>jamie@build2.co.nz</t>
  </si>
  <si>
    <t>Reinforcement steel</t>
  </si>
  <si>
    <t>Mitre10 - United steel</t>
  </si>
  <si>
    <t>Mitre10</t>
  </si>
  <si>
    <t>Struct steel</t>
  </si>
  <si>
    <t>Nobel Engineering</t>
  </si>
  <si>
    <t>Henry   021   923 817
Geoff   0274  923 819
Linda   021 176 5233</t>
  </si>
  <si>
    <t>noble.structural@gmail.com</t>
  </si>
  <si>
    <t>19.04.2026</t>
  </si>
  <si>
    <t>021 176 5233</t>
  </si>
  <si>
    <t>Concrete Supply</t>
  </si>
  <si>
    <t>TT Concrete</t>
  </si>
  <si>
    <t xml:space="preserve">Leyla  YANG
</t>
  </si>
  <si>
    <t>leyla@ttconcrete.co.nz</t>
  </si>
  <si>
    <t xml:space="preserve">0800 882 662  
0273348532
</t>
  </si>
  <si>
    <t>242/m3 pump 
25 MPA</t>
  </si>
  <si>
    <t>Price per m3- give them SAQ</t>
  </si>
  <si>
    <t>Concrete	1350	m2
	265	m3</t>
  </si>
  <si>
    <t>Waterproofing and membrane roofing</t>
  </si>
  <si>
    <t>Volk Waterproofing</t>
  </si>
  <si>
    <r>
      <t xml:space="preserve">Aleksey
</t>
    </r>
    <r>
      <rPr>
        <sz val="11"/>
        <color rgb="FFFF0000"/>
        <rFont val="Calibri"/>
        <family val="2"/>
        <scheme val="minor"/>
      </rPr>
      <t>Dmitrii</t>
    </r>
  </si>
  <si>
    <r>
      <t xml:space="preserve">volkwaterproofing@gmail.com
</t>
    </r>
    <r>
      <rPr>
        <u/>
        <sz val="11"/>
        <color rgb="FFFF0000"/>
        <rFont val="Calibri"/>
        <family val="2"/>
        <scheme val="minor"/>
      </rPr>
      <t>info@volk.nz</t>
    </r>
  </si>
  <si>
    <t>+64 22 044 2562</t>
  </si>
  <si>
    <t>We are expecting price increase from supplier, in case if that happens before we start, Volk will revise the quote and provide the supporting letter as an evidence.
On the drawings, sheet A25, detail 28, shows the Nuralite premseal, I have checked the web site it is just a primer for adhesion between substrate and membrane, can you clarify on that please. (tech data attached)</t>
  </si>
  <si>
    <t>Waterproofing</t>
  </si>
  <si>
    <t>Union Waterproofing 
Systems Ltd</t>
  </si>
  <si>
    <t>Bruce Liu
Antony Li</t>
  </si>
  <si>
    <t>bruce@unionwaterproofing.co.nz</t>
  </si>
  <si>
    <t>021 – 058 – 9908</t>
  </si>
  <si>
    <r>
      <t xml:space="preserve"> 
20,300.00
</t>
    </r>
    <r>
      <rPr>
        <sz val="11"/>
        <color rgb="FF388600"/>
        <rFont val="Calibri"/>
        <family val="2"/>
        <scheme val="minor"/>
      </rPr>
      <t>12,890.00</t>
    </r>
  </si>
  <si>
    <t>Please note: the torch on membrane details 13&amp;14/A16 for Patio area still requires further discussion regarding watertightness. This has been tagged in our quote and mark-up plan, please check with it.
We also attached typical Volclay tanking detail in our markup plan for your review. Please note that Voltex membrane is a pre-applied tanking membrane and must bond with concrete to achieve its waterproofing performance. Therefore, our allowance only based on install Swelltite tanking membrane at backfilled masonry retaining wall.</t>
  </si>
  <si>
    <t>Reinforcing Steel</t>
  </si>
  <si>
    <t>United Steel</t>
  </si>
  <si>
    <t>Marie Peyroux</t>
  </si>
  <si>
    <t>akl.cutandbend@unitedsteel.co.nz</t>
  </si>
  <si>
    <t>Trough Mitre10</t>
  </si>
  <si>
    <t>19/03/2025</t>
  </si>
  <si>
    <t>Electrcical works</t>
  </si>
  <si>
    <t>Harbour Electrical</t>
  </si>
  <si>
    <t>Logan Gurney</t>
  </si>
  <si>
    <t xml:space="preserve"> logan@harbourelectrical.co.nz</t>
  </si>
  <si>
    <t>19/03</t>
  </si>
  <si>
    <t xml:space="preserve">Scaffolding </t>
  </si>
  <si>
    <t>BSL Scaffolding</t>
  </si>
  <si>
    <t>Mark Thompson 
Jenny Murray</t>
  </si>
  <si>
    <t>info@bslscaffolding.co.nz</t>
  </si>
  <si>
    <t>(0275) 600 595
(09) 443 2551</t>
  </si>
  <si>
    <t xml:space="preserve">15,271.75
990.60 per week
</t>
  </si>
  <si>
    <t>Labour &amp; Freight: To erect, dismantle, deliver &amp; return once$15271.75
Scaffold weekly hire @ $990.60 per week
Variation works, extra to contract:
Labour charge @ $70.00 per man hour,
Extra freight charges &amp; materials rental may apply.
15 months</t>
  </si>
  <si>
    <t xml:space="preserve">New Era </t>
  </si>
  <si>
    <t>Vili Pera</t>
  </si>
  <si>
    <t>16000
2800
1142.25 per week
65/week safety</t>
  </si>
  <si>
    <t>Gas/ Plumbing</t>
  </si>
  <si>
    <t>Nevflow Plumbing</t>
  </si>
  <si>
    <t>Jordan</t>
  </si>
  <si>
    <t>Info@nevflowplumbing.co.nz &lt;Info@nevflowplumbing.co.nz&gt;</t>
  </si>
  <si>
    <t>Questions
without the info asked above the gas work cannot be priced as the position of meters determines gas pipe sizing which then determines cost.
Regards to plumbing as a complete estimate until we have updated plans we would say for complete project you are looking at around $70k + gst.</t>
  </si>
  <si>
    <t>CAT Plumbing</t>
  </si>
  <si>
    <t>Mark Taylor</t>
  </si>
  <si>
    <t>mark@catplumbing.co.nz</t>
  </si>
  <si>
    <t>Drainage</t>
  </si>
  <si>
    <t>Z Plumbing</t>
  </si>
  <si>
    <t>Sam, Craig England</t>
  </si>
  <si>
    <t>info@zplumbing.co.nz, craig@englanddrainage.co.nz</t>
  </si>
  <si>
    <t>25/04/2025</t>
  </si>
  <si>
    <t>Geoff Harriman Ltd</t>
  </si>
  <si>
    <t>Geoff</t>
  </si>
  <si>
    <t>geoff@ghl.kiwi</t>
  </si>
  <si>
    <t>20.04.2026</t>
  </si>
  <si>
    <t>021 948 122</t>
  </si>
  <si>
    <t>Pre-cast floor system</t>
  </si>
  <si>
    <t>FormStress</t>
  </si>
  <si>
    <t>Greg Johnston</t>
  </si>
  <si>
    <t>tenders@formstress.co.nz, Greg Johnston &lt;greg@formstress.co.nz&gt;</t>
  </si>
  <si>
    <t>quotation for precast flat slabs, ribs/timber infills and stairs.</t>
  </si>
  <si>
    <t>04/03/2025</t>
  </si>
  <si>
    <t>PRECAST STAIR</t>
  </si>
  <si>
    <t>Precast HQ</t>
  </si>
  <si>
    <t>Guy Quaife
Nikhil Gadge</t>
  </si>
  <si>
    <t>info@precasthq.co.nz
nikhil@precasthq.co.nz</t>
  </si>
  <si>
    <t>027 507 6996</t>
  </si>
  <si>
    <t>27,153.00+GST</t>
  </si>
  <si>
    <t xml:space="preserve"> I’ve taken another look at our pricing and reviewed it in light of our new rates – please find attached our quote and associated markup for the supply of precast stairs for 1 Peterson Road.</t>
  </si>
  <si>
    <t>Tiling</t>
  </si>
  <si>
    <t>TAT Tiling</t>
  </si>
  <si>
    <t>Tom</t>
  </si>
  <si>
    <t>info@unictiling.co.nz</t>
  </si>
  <si>
    <t>Unic Tiling</t>
  </si>
  <si>
    <t>Tony</t>
  </si>
  <si>
    <t>Insulation</t>
  </si>
  <si>
    <t>Install Management</t>
  </si>
  <si>
    <r>
      <t xml:space="preserve">Anton Pelekh, </t>
    </r>
    <r>
      <rPr>
        <sz val="11"/>
        <color rgb="FFFF0000"/>
        <rFont val="Calibri"/>
        <family val="2"/>
        <scheme val="minor"/>
      </rPr>
      <t>Maxim</t>
    </r>
  </si>
  <si>
    <t>antonpelekh@gmail.com, qs@install.net.nz</t>
  </si>
  <si>
    <t>Roofing</t>
  </si>
  <si>
    <t>bproofing</t>
  </si>
  <si>
    <t>Daniel Treanor</t>
  </si>
  <si>
    <t>enquiries@bproofing.co.nz</t>
  </si>
  <si>
    <t>021-530220</t>
  </si>
  <si>
    <t xml:space="preserve">29,693.52
31,632.26
30,812.16
32,750.90
see info </t>
  </si>
  <si>
    <r>
      <t xml:space="preserve">proposed roof design is not compliant with the design specifications for the Marseille terracotta roof tile (or any of Monier’s roof tiles).
</t>
    </r>
    <r>
      <rPr>
        <sz val="9"/>
        <color rgb="FF00B050"/>
        <rFont val="Calibri"/>
        <scheme val="minor"/>
      </rPr>
      <t xml:space="preserve">20/03 - waiting for Quote using the Gerard metal tile roof system. This is a lightweight roof system that looks a lot like tiles </t>
    </r>
  </si>
  <si>
    <t>21/06/2025</t>
  </si>
  <si>
    <t>Mitre 10</t>
  </si>
  <si>
    <t>Phil Leggett</t>
  </si>
  <si>
    <t>Phil.Leggett@mitre10.co.nz</t>
  </si>
  <si>
    <t>Select Roofing Limited</t>
  </si>
  <si>
    <t>Daniel Harvey</t>
  </si>
  <si>
    <t>daniel@selectroofing.co.nz</t>
  </si>
  <si>
    <t>021 814 081</t>
  </si>
  <si>
    <t>*This price does not include gutter products or anti ponding board</t>
  </si>
  <si>
    <r>
      <t>Windows,</t>
    </r>
    <r>
      <rPr>
        <sz val="11"/>
        <color rgb="FFFF0000"/>
        <rFont val="Calibri"/>
        <family val="2"/>
        <scheme val="minor"/>
      </rPr>
      <t xml:space="preserve"> Garage Doors</t>
    </r>
  </si>
  <si>
    <t>Windows RUS</t>
  </si>
  <si>
    <t>Jama</t>
  </si>
  <si>
    <t>info@jmmc.co.nz</t>
  </si>
  <si>
    <t>Windows</t>
  </si>
  <si>
    <t>Vision Windows</t>
  </si>
  <si>
    <t>Aluminium City</t>
  </si>
  <si>
    <t>Fraser Tosh</t>
  </si>
  <si>
    <t>fraser@aluminiumcity.co.nz</t>
  </si>
  <si>
    <t>Flooring</t>
  </si>
  <si>
    <t>TFS</t>
  </si>
  <si>
    <t>Alan, Samantha Clarke</t>
  </si>
  <si>
    <t>office@timberfloor.nz</t>
  </si>
  <si>
    <t>our alternative timber flooring option is the more cost-effective option compared to the Kahrs Wooden Oak Mint.</t>
  </si>
  <si>
    <t>Freeco Flooring</t>
  </si>
  <si>
    <t>Jason</t>
  </si>
  <si>
    <t> </t>
  </si>
  <si>
    <t>Polished concrete flooring</t>
  </si>
  <si>
    <t>polishedconcrete</t>
  </si>
  <si>
    <t>Dean</t>
  </si>
  <si>
    <t>dean@polishedconcrete.co.nz</t>
  </si>
  <si>
    <t>Spouting</t>
  </si>
  <si>
    <t>Cube Renovation</t>
  </si>
  <si>
    <t>Dmitriy Dudov</t>
  </si>
  <si>
    <t>cuberenovation@gmail.com</t>
  </si>
  <si>
    <t>Gibbing, Plastering</t>
  </si>
  <si>
    <t>Steg Contraction</t>
  </si>
  <si>
    <t>Egor Sherbakov</t>
  </si>
  <si>
    <t>stegltd@gmail.com</t>
  </si>
  <si>
    <t xml:space="preserve">66 700.00 </t>
  </si>
  <si>
    <t xml:space="preserve">Plasterboard supply, fix and stop
Plasterboard supply- $44 000.00
Plasterboard installation - $30 400.00 
Plasterboard stopping - $30 000.00
</t>
  </si>
  <si>
    <t>Gibbing, Plastering, Stopping</t>
  </si>
  <si>
    <t>Evgeny's Construction Limited</t>
  </si>
  <si>
    <t>Evgeny Litvinchuk</t>
  </si>
  <si>
    <t>evgeny@econ.kiwi</t>
  </si>
  <si>
    <t>Quote for Gib board
Including: Supply, fixing, insulation and delivery
Sound fire sealant
-Lift fire smoke curtain in ceiling space
Quote for Interior level 4 gib board Stopping
Including:Materials, delivery and installation</t>
  </si>
  <si>
    <t>31/12/2025</t>
  </si>
  <si>
    <t>Ceiling, Rondo</t>
  </si>
  <si>
    <t>Quote for Rondo suspended ceiling grid @400 center ceiling channels.
Including:Supply, fixing, installation and delivery.
Quote for Rondo strapping walls
Including: Supply, fixing, insulation and delivery.</t>
  </si>
  <si>
    <t>Constant Ltd</t>
  </si>
  <si>
    <t>Konstantin  Zhilkin</t>
  </si>
  <si>
    <t>info@constantltd.co.nz</t>
  </si>
  <si>
    <t>022 174 1057</t>
  </si>
  <si>
    <t xml:space="preserve">According to the provided drawings: the legend/specifications indicate the details of the timber 69*35 ceiling battens with 400 ctrs.
When using a suspended ceiling system, the price per square meter will be:
- Ceiling Battens 400 centre f.channel 16mm (supply and installation) 
SRP product - 38 per square meter (Excluding GST)
Rondo product - 48 per square meter (Excluding GST)
According to the drawings, the total ceiling area is 891.05 m2.
</t>
  </si>
  <si>
    <t>Interior and Exterior painting</t>
  </si>
  <si>
    <t>Quote for interior painting.
Including: Supply, delivery and installation.
Quote for Exterior painting soffits
Including: Supply, delivery and installation</t>
  </si>
  <si>
    <t>STO Plastering Exterior</t>
  </si>
  <si>
    <t>Unic Finishes Plastering</t>
  </si>
  <si>
    <t>Guilherme Reginato</t>
  </si>
  <si>
    <t>uniquefinishesplastering@gmail.com</t>
  </si>
  <si>
    <t>Weather Right Solution</t>
  </si>
  <si>
    <t>Gonzalo Alarcon</t>
  </si>
  <si>
    <t>weatherrightsolution@gmail.com</t>
  </si>
  <si>
    <t>Cladding Exterior Cedar</t>
  </si>
  <si>
    <t>Taylor Superclad</t>
  </si>
  <si>
    <t xml:space="preserve">Daniel </t>
  </si>
  <si>
    <t>admin@taylorsuperclad.co.nz
dan@taylorsuperclad.co.nz</t>
  </si>
  <si>
    <t>22.04.2026</t>
  </si>
  <si>
    <t>1.05.2026</t>
  </si>
  <si>
    <t>Interior doors / Stairs</t>
  </si>
  <si>
    <t>Hi Qual Doors</t>
  </si>
  <si>
    <t>RODDY BALL</t>
  </si>
  <si>
    <t>roddy@hiqualdoors.co.nz</t>
  </si>
  <si>
    <t>Fire doors</t>
  </si>
  <si>
    <t>Fire Protection</t>
  </si>
  <si>
    <t>Fire Control</t>
  </si>
  <si>
    <t>James Duffy</t>
  </si>
  <si>
    <t>james.d@firecontrol.co.nz</t>
  </si>
  <si>
    <t>021 530 754</t>
  </si>
  <si>
    <t>GuardianAlarms</t>
  </si>
  <si>
    <t>Joanne Carnachan</t>
  </si>
  <si>
    <t>ak@guardianalarms.co.nz</t>
  </si>
  <si>
    <t>09 303 2326 </t>
  </si>
  <si>
    <t>Emergency Lights</t>
  </si>
  <si>
    <t>included the option for us to do the emergency lighting</t>
  </si>
  <si>
    <t>Pacific Doors Systems Limited</t>
  </si>
  <si>
    <r>
      <rPr>
        <sz val="11"/>
        <color rgb="FFFF0000"/>
        <rFont val="Calibri"/>
        <scheme val="minor"/>
      </rPr>
      <t>Total number of Doors allowed: 16.00</t>
    </r>
    <r>
      <rPr>
        <sz val="11"/>
        <color rgb="FF000000"/>
        <rFont val="Calibri"/>
        <scheme val="minor"/>
      </rPr>
      <t xml:space="preserve"> I have priced for 2000mm high doors. Regarding my note below about the side light. I have not allowed for this and have only allowed for a vision panel. I have done this as I have based my quote off the fire report at this stage which notes a vision panel but no information regarding the door or elevation. Once you have more information including door schedules and elevation, please let me know and I can revise our quote to suit.</t>
    </r>
  </si>
  <si>
    <t>25/03</t>
  </si>
  <si>
    <t>Viridian Glass</t>
  </si>
  <si>
    <t>Steven</t>
  </si>
  <si>
    <t>info@viridianglass.co.nz </t>
  </si>
  <si>
    <t>8.06.26</t>
  </si>
  <si>
    <t>Glass Balustrades</t>
  </si>
  <si>
    <t>Royal Glass</t>
  </si>
  <si>
    <t>Roxy Huang</t>
  </si>
  <si>
    <t>messaging-service@post.servicem8.com
support@royalglass.co.nz</t>
  </si>
  <si>
    <t>4.04.2026</t>
  </si>
  <si>
    <t>Interior doors</t>
  </si>
  <si>
    <t>General materials</t>
  </si>
  <si>
    <t>in  progress 11/03, reply on Qs
See comment
27/03: Please see pricing for what we have to date.
Should have the trusses quote any day and the steel.              
28/03:Please find attached the additional Quotes for 1 Peterson Rd- I'm still waiting for Secure Steel.</t>
  </si>
  <si>
    <t>27/03</t>
  </si>
  <si>
    <t>Albany ITM</t>
  </si>
  <si>
    <t>Brent Blakey</t>
  </si>
  <si>
    <t>bblakey@albanytimber.co.nz</t>
  </si>
  <si>
    <r>
      <rPr>
        <sz val="11"/>
        <color rgb="FFFF0000"/>
        <rFont val="Calibri"/>
        <scheme val="minor"/>
      </rPr>
      <t xml:space="preserve">$34,127.45
</t>
    </r>
    <r>
      <rPr>
        <sz val="11"/>
        <color rgb="FF00B050"/>
        <rFont val="Calibri"/>
        <scheme val="minor"/>
      </rPr>
      <t>$218,584.60</t>
    </r>
  </si>
  <si>
    <r>
      <rPr>
        <sz val="9"/>
        <color rgb="FF000000"/>
        <rFont val="Aptos Narrow"/>
      </rPr>
      <t xml:space="preserve">We will price the Prenail and Trusses – all the Balance of Roof and Prenail Random Cedar Cladding and reinforcing steel and blocks  27/03
</t>
    </r>
    <r>
      <rPr>
        <sz val="9"/>
        <color rgb="FFFF0000"/>
        <rFont val="Aptos Narrow"/>
      </rPr>
      <t xml:space="preserve">Framing
</t>
    </r>
    <r>
      <rPr>
        <sz val="9"/>
        <color rgb="FF00B050"/>
        <rFont val="Aptos Narrow"/>
      </rPr>
      <t>BOH</t>
    </r>
  </si>
  <si>
    <t>BUDGET COST ANALYSIS</t>
  </si>
  <si>
    <t>Nigel, Eden</t>
  </si>
  <si>
    <t>nigel@emmittgroup.co.nz
Nigel@measuremore.co.nz
Eden@measuremore.co.nz</t>
  </si>
  <si>
    <t>Nigel  021933930</t>
  </si>
  <si>
    <t>+ $1800 for analysis</t>
  </si>
  <si>
    <t>17/03/25</t>
  </si>
  <si>
    <t>Timber</t>
  </si>
  <si>
    <t>Wiri timber</t>
  </si>
  <si>
    <t>Nicholas</t>
  </si>
  <si>
    <t>Nicholas.sheh@wiritimber.co.nz &lt;Nicholas.sheh@wiritimber.co.nz&gt;</t>
  </si>
  <si>
    <t xml:space="preserve">Lift </t>
  </si>
  <si>
    <t>UE Lifts</t>
  </si>
  <si>
    <t>Lyndon Cooper</t>
  </si>
  <si>
    <t>lyndon@uelifts.co.nz</t>
  </si>
  <si>
    <t>Access Elevators Ltd</t>
  </si>
  <si>
    <t>Shelley Phillips</t>
  </si>
  <si>
    <t>admin@lifts.co.nz</t>
  </si>
  <si>
    <t>Sectional Garage Doors</t>
  </si>
  <si>
    <t>DOMINATOR</t>
  </si>
  <si>
    <t>Gates</t>
  </si>
  <si>
    <t>Auckland Gates</t>
  </si>
  <si>
    <t>sales@aucklandgates.co.nz</t>
  </si>
  <si>
    <t>Arcitech Engineer</t>
  </si>
  <si>
    <t xml:space="preserve">MIke Osborne </t>
  </si>
  <si>
    <t>&lt;osborne_m@hotmail.com&gt;</t>
  </si>
  <si>
    <t>21454686
095246096</t>
  </si>
  <si>
    <t>Inspections/ Visits Checklist</t>
  </si>
  <si>
    <t>BCO no.:</t>
  </si>
  <si>
    <t xml:space="preserve"> Company</t>
  </si>
  <si>
    <t>Address</t>
  </si>
  <si>
    <t>Architect</t>
  </si>
  <si>
    <t>Geotech engineer</t>
  </si>
  <si>
    <t>Structural engineer</t>
  </si>
  <si>
    <t>Fire engineer</t>
  </si>
  <si>
    <t>Council inspections</t>
  </si>
  <si>
    <t>Foundation</t>
  </si>
  <si>
    <t>Concrete block, Concrete reinforcing</t>
  </si>
  <si>
    <t>Health and Safety Section</t>
  </si>
  <si>
    <t>Proceduri</t>
  </si>
  <si>
    <t>Dokumenti</t>
  </si>
  <si>
    <t>Kontrol (check list)</t>
  </si>
  <si>
    <t>Responsible</t>
  </si>
  <si>
    <t>Do Site Induction</t>
  </si>
  <si>
    <t>Prepare SSSP , sign with Vasily Kosenko</t>
  </si>
  <si>
    <t>Site Specific Safety Plan Checklist</t>
  </si>
  <si>
    <t>Prepare Task Analysis worksheet</t>
  </si>
  <si>
    <t>Task Analysis worksheet</t>
  </si>
  <si>
    <t>Prepare STC register; Explain potential Hazards onsite, Ways, rules to elimionate hazards; Sign STC register with the builders</t>
  </si>
  <si>
    <t>Safety Training and Competency register</t>
  </si>
  <si>
    <t>Get signed by all contractors visiting the site</t>
  </si>
  <si>
    <t>Prepare Checklist</t>
  </si>
  <si>
    <t>Hazard checklist</t>
  </si>
  <si>
    <t>Prepare Register</t>
  </si>
  <si>
    <t>Site visits register</t>
  </si>
  <si>
    <t>east.slava@gmail.com</t>
  </si>
  <si>
    <t>SlavaCo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</si>
</sst>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_([$$-409]* #,##0.00_);_([$$-409]* \(#,##0.00\);_([$$-409]* &quot;-&quot;??_);_(@_)"/>
    <numFmt numFmtId="166" formatCode="&quot;$&quot;#,##0.00"/>
  </numFmts>
  <fonts count="45">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8"/>
      <color rgb="FF201F1E"/>
      <name val="Arial"/>
      <family val="2"/>
    </font>
    <font>
      <sz val="11"/>
      <color rgb="FF000000"/>
      <name val="Arial"/>
      <family val="2"/>
    </font>
    <font>
      <sz val="11"/>
      <color rgb="FFFF0000"/>
      <name val="Calibri"/>
      <family val="2"/>
      <scheme val="minor"/>
    </font>
    <font>
      <sz val="11"/>
      <color rgb="FF242424"/>
      <name val="Calibri"/>
      <family val="2"/>
      <scheme val="minor"/>
    </font>
    <font>
      <sz val="11"/>
      <color theme="1"/>
      <name val="Times New Roman"/>
      <family val="1"/>
    </font>
    <font>
      <u/>
      <sz val="11"/>
      <color rgb="FFFF0000"/>
      <name val="Calibri"/>
      <family val="2"/>
      <scheme val="minor"/>
    </font>
    <font>
      <sz val="9.5"/>
      <color theme="1"/>
      <name val="Trebuchet MS"/>
      <family val="2"/>
    </font>
    <font>
      <sz val="9"/>
      <color rgb="FFFF0000"/>
      <name val="Calibri"/>
      <family val="2"/>
      <scheme val="minor"/>
    </font>
    <font>
      <sz val="9"/>
      <color rgb="FF242424"/>
      <name val="Calibri"/>
      <family val="2"/>
      <scheme val="minor"/>
    </font>
    <font>
      <sz val="9"/>
      <color rgb="FF000000"/>
      <name val="Calibri"/>
      <family val="2"/>
      <scheme val="minor"/>
    </font>
    <font>
      <sz val="11"/>
      <color rgb="FF388600"/>
      <name val="Calibri"/>
      <family val="2"/>
      <scheme val="minor"/>
    </font>
    <font>
      <sz val="9"/>
      <color rgb="FF242424"/>
      <name val="Segoe UI"/>
      <family val="2"/>
    </font>
    <font>
      <sz val="10"/>
      <color rgb="FF020617"/>
      <name val="Arial"/>
      <family val="2"/>
    </font>
    <font>
      <sz val="11"/>
      <color rgb="FF242424"/>
      <name val="Segoe UI"/>
      <charset val="1"/>
    </font>
    <font>
      <sz val="9"/>
      <color rgb="FF242424"/>
      <name val="Segoe UI"/>
      <charset val="1"/>
    </font>
    <font>
      <sz val="11"/>
      <color rgb="FFFF0000"/>
      <name val="Calibri"/>
      <scheme val="minor"/>
    </font>
    <font>
      <sz val="12"/>
      <color theme="1"/>
      <name val="Aptos"/>
      <family val="2"/>
      <charset val="1"/>
    </font>
    <font>
      <sz val="11"/>
      <color rgb="FF242424"/>
      <name val="Aptos Narrow"/>
      <charset val="1"/>
    </font>
    <font>
      <sz val="11"/>
      <color rgb="FF000000"/>
      <name val="Calibri"/>
      <scheme val="minor"/>
    </font>
    <font>
      <sz val="9"/>
      <color rgb="FFFF0000"/>
      <name val="Calibri"/>
      <scheme val="minor"/>
    </font>
    <font>
      <sz val="9"/>
      <color theme="1"/>
      <name val="Calibri"/>
      <family val="2"/>
      <scheme val="minor"/>
    </font>
    <font>
      <sz val="9"/>
      <color rgb="FF000000"/>
      <name val="Arial"/>
      <charset val="1"/>
    </font>
    <font>
      <sz val="9"/>
      <color rgb="FF00B050"/>
      <name val="Calibri"/>
      <scheme val="minor"/>
    </font>
    <font>
      <sz val="11"/>
      <color rgb="FF242424"/>
      <name val="Inherit"/>
      <charset val="1"/>
    </font>
    <font>
      <sz val="11"/>
      <color rgb="FF000A1E"/>
      <name val="Inherit"/>
      <charset val="1"/>
    </font>
    <font>
      <sz val="11"/>
      <color theme="1"/>
      <name val="Aptos"/>
      <family val="2"/>
      <charset val="1"/>
    </font>
    <font>
      <b/>
      <sz val="12"/>
      <color theme="1"/>
      <name val="Aptos"/>
      <family val="2"/>
      <charset val="1"/>
    </font>
    <font>
      <sz val="12"/>
      <name val="Aptos"/>
      <family val="2"/>
    </font>
    <font>
      <sz val="9"/>
      <color rgb="FF000000"/>
      <name val="Aptos Narrow"/>
    </font>
    <font>
      <sz val="9"/>
      <color rgb="FFFF0000"/>
      <name val="Aptos Narrow"/>
    </font>
    <font>
      <sz val="9"/>
      <color rgb="FF00B050"/>
      <name val="Aptos Narrow"/>
    </font>
    <font>
      <sz val="11"/>
      <color rgb="FF00B050"/>
      <name val="Calibri"/>
      <scheme val="minor"/>
    </font>
    <font>
      <sz val="11"/>
      <color rgb="FF242424"/>
      <name val="Aptos"/>
      <family val="2"/>
      <charset val="1"/>
    </font>
    <font>
      <sz val="11"/>
      <color rgb="FF000000"/>
      <name val="Calibri"/>
      <charset val="1"/>
    </font>
    <font>
      <sz val="9"/>
      <color rgb="FF242424"/>
      <name val="Segoe UI"/>
    </font>
    <font>
      <sz val="11"/>
      <color theme="1"/>
      <name val="Aptos"/>
      <charset val="1"/>
    </font>
    <font>
      <b/>
      <sz val="12"/>
      <color theme="1"/>
      <name val="Aptos"/>
      <charset val="1"/>
    </font>
    <font>
      <sz val="12"/>
      <color rgb="FF000000"/>
      <name val="Aptos"/>
      <charset val="1"/>
    </font>
    <font>
      <sz val="10"/>
      <color rgb="FF242424"/>
      <name val="Calibri"/>
      <family val="2"/>
      <charset val="1"/>
    </font>
    <font>
      <sz val="11"/>
      <color rgb="FF000000"/>
      <name val="Calibri"/>
      <family val="2"/>
      <charset val="1"/>
    </font>
    <font>
      <sz val="11"/>
      <color theme="1"/>
      <name val="Calibri"/>
      <family val="2"/>
      <charset val="1"/>
    </font>
  </fonts>
  <fills count="12">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4"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indexed="64"/>
      </left>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right/>
      <top style="thin">
        <color rgb="FF000000"/>
      </top>
      <bottom style="thin">
        <color rgb="FF000000"/>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27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2" fillId="0" borderId="0" xfId="0" applyFont="1"/>
    <xf numFmtId="0" fontId="2" fillId="0" borderId="1" xfId="0" applyFont="1" applyBorder="1"/>
    <xf numFmtId="0" fontId="0" fillId="2" borderId="1" xfId="0" applyFill="1" applyBorder="1" applyAlignment="1">
      <alignment wrapText="1"/>
    </xf>
    <xf numFmtId="0" fontId="0" fillId="2" borderId="6" xfId="0" applyFill="1" applyBorder="1" applyAlignment="1">
      <alignment wrapText="1"/>
    </xf>
    <xf numFmtId="0" fontId="0" fillId="2" borderId="1" xfId="0" applyFill="1" applyBorder="1"/>
    <xf numFmtId="0" fontId="0" fillId="2" borderId="5" xfId="0" applyFill="1" applyBorder="1" applyAlignment="1">
      <alignment wrapText="1"/>
    </xf>
    <xf numFmtId="0" fontId="0" fillId="2" borderId="2" xfId="0" applyFill="1" applyBorder="1" applyAlignment="1">
      <alignment wrapText="1"/>
    </xf>
    <xf numFmtId="0" fontId="3" fillId="2" borderId="2" xfId="1" applyFill="1" applyBorder="1" applyAlignment="1">
      <alignment wrapText="1"/>
    </xf>
    <xf numFmtId="0" fontId="0" fillId="2" borderId="3" xfId="0" applyFill="1" applyBorder="1" applyAlignment="1">
      <alignment wrapText="1"/>
    </xf>
    <xf numFmtId="0" fontId="0" fillId="2" borderId="0" xfId="0" applyFill="1"/>
    <xf numFmtId="0" fontId="0" fillId="2" borderId="0" xfId="0" applyFill="1" applyAlignment="1">
      <alignment wrapText="1"/>
    </xf>
    <xf numFmtId="0" fontId="3" fillId="2" borderId="0" xfId="1" applyFill="1"/>
    <xf numFmtId="14" fontId="0" fillId="2" borderId="6" xfId="0" applyNumberFormat="1" applyFill="1" applyBorder="1" applyAlignment="1">
      <alignment wrapText="1"/>
    </xf>
    <xf numFmtId="0" fontId="2" fillId="0" borderId="0" xfId="0" applyFont="1" applyAlignment="1">
      <alignment wrapText="1"/>
    </xf>
    <xf numFmtId="0" fontId="2" fillId="0" borderId="1" xfId="0" applyFont="1" applyBorder="1" applyAlignment="1">
      <alignment horizontal="center" wrapText="1"/>
    </xf>
    <xf numFmtId="0" fontId="3" fillId="0" borderId="1" xfId="1" applyBorder="1" applyAlignment="1">
      <alignment wrapText="1"/>
    </xf>
    <xf numFmtId="0" fontId="4" fillId="0" borderId="0" xfId="0" applyFont="1"/>
    <xf numFmtId="0" fontId="5" fillId="0" borderId="0" xfId="0" applyFont="1"/>
    <xf numFmtId="0" fontId="3" fillId="0" borderId="0" xfId="1"/>
    <xf numFmtId="0" fontId="0" fillId="2" borderId="10" xfId="0" applyFill="1" applyBorder="1" applyAlignment="1">
      <alignment wrapText="1"/>
    </xf>
    <xf numFmtId="0" fontId="0" fillId="2" borderId="11" xfId="0" applyFill="1" applyBorder="1" applyAlignment="1">
      <alignment wrapText="1"/>
    </xf>
    <xf numFmtId="0" fontId="0" fillId="2" borderId="7" xfId="0" applyFill="1" applyBorder="1" applyAlignment="1">
      <alignment wrapText="1"/>
    </xf>
    <xf numFmtId="0" fontId="2" fillId="2" borderId="1" xfId="0" applyFont="1" applyFill="1" applyBorder="1" applyAlignment="1">
      <alignment horizontal="center" wrapText="1"/>
    </xf>
    <xf numFmtId="0" fontId="2" fillId="2" borderId="9" xfId="0" applyFont="1" applyFill="1" applyBorder="1" applyAlignment="1">
      <alignment horizontal="center" wrapText="1"/>
    </xf>
    <xf numFmtId="0" fontId="3" fillId="2" borderId="1" xfId="1" applyFill="1" applyBorder="1" applyAlignment="1">
      <alignment horizontal="right" wrapText="1"/>
    </xf>
    <xf numFmtId="14" fontId="3" fillId="2" borderId="1" xfId="1" applyNumberFormat="1" applyFill="1" applyBorder="1" applyAlignment="1">
      <alignment wrapText="1"/>
    </xf>
    <xf numFmtId="0" fontId="2" fillId="2" borderId="4" xfId="0" applyFont="1" applyFill="1" applyBorder="1" applyAlignment="1">
      <alignment horizontal="center" wrapText="1"/>
    </xf>
    <xf numFmtId="0" fontId="0" fillId="3" borderId="1" xfId="0" applyFill="1" applyBorder="1" applyAlignment="1">
      <alignment wrapText="1"/>
    </xf>
    <xf numFmtId="0" fontId="3" fillId="3" borderId="1" xfId="1" applyFill="1" applyBorder="1" applyAlignment="1">
      <alignment wrapText="1"/>
    </xf>
    <xf numFmtId="14" fontId="0" fillId="3" borderId="1" xfId="0" applyNumberFormat="1" applyFill="1" applyBorder="1" applyAlignment="1">
      <alignment wrapText="1"/>
    </xf>
    <xf numFmtId="14" fontId="3" fillId="3" borderId="1" xfId="1" applyNumberFormat="1" applyFill="1" applyBorder="1" applyAlignment="1">
      <alignment horizontal="right" wrapText="1"/>
    </xf>
    <xf numFmtId="0" fontId="0" fillId="4" borderId="1" xfId="0" applyFill="1" applyBorder="1" applyAlignment="1">
      <alignment wrapText="1"/>
    </xf>
    <xf numFmtId="14" fontId="0" fillId="4" borderId="1" xfId="0" applyNumberFormat="1" applyFill="1" applyBorder="1" applyAlignment="1">
      <alignment wrapText="1"/>
    </xf>
    <xf numFmtId="0" fontId="0" fillId="5" borderId="1" xfId="0" applyFill="1" applyBorder="1" applyAlignment="1">
      <alignment wrapText="1"/>
    </xf>
    <xf numFmtId="0" fontId="3" fillId="5" borderId="1" xfId="1" applyFill="1" applyBorder="1" applyAlignment="1">
      <alignment wrapText="1"/>
    </xf>
    <xf numFmtId="0" fontId="0" fillId="5" borderId="1" xfId="0" applyFill="1" applyBorder="1"/>
    <xf numFmtId="0" fontId="3" fillId="5" borderId="1" xfId="1" applyFill="1" applyBorder="1"/>
    <xf numFmtId="0" fontId="0" fillId="5" borderId="5" xfId="0" applyFill="1" applyBorder="1" applyAlignment="1">
      <alignment wrapText="1"/>
    </xf>
    <xf numFmtId="0" fontId="3" fillId="2" borderId="1" xfId="1" applyFill="1" applyBorder="1" applyAlignment="1">
      <alignment wrapText="1"/>
    </xf>
    <xf numFmtId="0" fontId="3" fillId="5" borderId="12" xfId="1" applyFill="1" applyBorder="1" applyAlignment="1">
      <alignment wrapText="1"/>
    </xf>
    <xf numFmtId="0" fontId="0" fillId="4" borderId="13" xfId="0" applyFill="1" applyBorder="1" applyAlignment="1">
      <alignment wrapText="1"/>
    </xf>
    <xf numFmtId="165" fontId="0" fillId="4" borderId="13" xfId="0" applyNumberFormat="1" applyFill="1" applyBorder="1" applyAlignment="1">
      <alignment wrapText="1"/>
    </xf>
    <xf numFmtId="0" fontId="0" fillId="5" borderId="9" xfId="0" applyFill="1" applyBorder="1" applyAlignment="1">
      <alignment wrapText="1"/>
    </xf>
    <xf numFmtId="14" fontId="0" fillId="4" borderId="13" xfId="0" applyNumberFormat="1" applyFill="1" applyBorder="1" applyAlignment="1">
      <alignment wrapText="1"/>
    </xf>
    <xf numFmtId="14" fontId="0" fillId="3" borderId="13" xfId="0" applyNumberFormat="1" applyFill="1" applyBorder="1" applyAlignment="1">
      <alignment wrapText="1"/>
    </xf>
    <xf numFmtId="0" fontId="0" fillId="5" borderId="9" xfId="0" applyFill="1" applyBorder="1"/>
    <xf numFmtId="0" fontId="0" fillId="5" borderId="13" xfId="0" applyFill="1" applyBorder="1" applyAlignment="1">
      <alignment wrapText="1"/>
    </xf>
    <xf numFmtId="0" fontId="0" fillId="5" borderId="12" xfId="0" applyFill="1" applyBorder="1"/>
    <xf numFmtId="49" fontId="0" fillId="0" borderId="0" xfId="0" applyNumberFormat="1"/>
    <xf numFmtId="49" fontId="0" fillId="2" borderId="0" xfId="0" applyNumberFormat="1" applyFill="1"/>
    <xf numFmtId="49" fontId="6" fillId="2" borderId="0" xfId="0" applyNumberFormat="1" applyFont="1" applyFill="1"/>
    <xf numFmtId="49" fontId="17" fillId="0" borderId="0" xfId="0" applyNumberFormat="1" applyFont="1"/>
    <xf numFmtId="49" fontId="17" fillId="7" borderId="0" xfId="0" applyNumberFormat="1" applyFont="1" applyFill="1" applyAlignment="1">
      <alignment wrapText="1"/>
    </xf>
    <xf numFmtId="0" fontId="0" fillId="3" borderId="12" xfId="0" applyFill="1" applyBorder="1" applyAlignment="1">
      <alignment wrapText="1"/>
    </xf>
    <xf numFmtId="14" fontId="0" fillId="3" borderId="12" xfId="0" applyNumberFormat="1" applyFill="1" applyBorder="1" applyAlignment="1">
      <alignment wrapText="1"/>
    </xf>
    <xf numFmtId="0" fontId="23" fillId="0" borderId="0" xfId="0" applyFont="1" applyAlignment="1">
      <alignment wrapText="1"/>
    </xf>
    <xf numFmtId="0" fontId="27" fillId="7" borderId="0" xfId="0" applyFont="1" applyFill="1" applyAlignment="1">
      <alignment wrapText="1"/>
    </xf>
    <xf numFmtId="0" fontId="28" fillId="7" borderId="0" xfId="0" applyFont="1" applyFill="1" applyAlignment="1">
      <alignment wrapText="1"/>
    </xf>
    <xf numFmtId="0" fontId="3" fillId="5" borderId="5" xfId="1" applyFill="1" applyBorder="1" applyAlignment="1">
      <alignment wrapText="1"/>
    </xf>
    <xf numFmtId="0" fontId="0" fillId="3" borderId="7" xfId="0" applyFill="1" applyBorder="1" applyAlignment="1">
      <alignment wrapText="1"/>
    </xf>
    <xf numFmtId="0" fontId="29" fillId="0" borderId="0" xfId="0" applyFont="1" applyAlignment="1">
      <alignment wrapText="1"/>
    </xf>
    <xf numFmtId="0" fontId="29" fillId="5" borderId="0" xfId="0" applyFont="1" applyFill="1"/>
    <xf numFmtId="0" fontId="30" fillId="0" borderId="0" xfId="0" applyFont="1" applyAlignment="1">
      <alignment wrapText="1"/>
    </xf>
    <xf numFmtId="0" fontId="21" fillId="5" borderId="12" xfId="0" applyFont="1" applyFill="1" applyBorder="1"/>
    <xf numFmtId="0" fontId="0" fillId="2" borderId="0" xfId="0" applyFill="1" applyAlignment="1">
      <alignment horizontal="right"/>
    </xf>
    <xf numFmtId="0" fontId="6" fillId="2" borderId="9" xfId="0" applyFont="1" applyFill="1" applyBorder="1" applyAlignment="1">
      <alignment horizontal="right" wrapText="1"/>
    </xf>
    <xf numFmtId="165" fontId="0" fillId="5" borderId="1" xfId="0" applyNumberFormat="1" applyFill="1" applyBorder="1" applyAlignment="1">
      <alignment horizontal="right" wrapText="1"/>
    </xf>
    <xf numFmtId="165" fontId="0" fillId="3" borderId="1" xfId="0" applyNumberFormat="1" applyFill="1" applyBorder="1" applyAlignment="1">
      <alignment horizontal="right" wrapText="1"/>
    </xf>
    <xf numFmtId="165" fontId="0" fillId="0" borderId="1" xfId="0" applyNumberFormat="1" applyBorder="1" applyAlignment="1">
      <alignment horizontal="right" wrapText="1"/>
    </xf>
    <xf numFmtId="14" fontId="3" fillId="2" borderId="1" xfId="1" applyNumberFormat="1" applyFill="1" applyBorder="1" applyAlignment="1">
      <alignment horizontal="right" wrapText="1"/>
    </xf>
    <xf numFmtId="0" fontId="0" fillId="2" borderId="1" xfId="0" applyFill="1" applyBorder="1" applyAlignment="1">
      <alignment horizontal="right" wrapText="1"/>
    </xf>
    <xf numFmtId="14" fontId="0" fillId="2" borderId="6" xfId="0" applyNumberFormat="1" applyFill="1" applyBorder="1" applyAlignment="1">
      <alignment horizontal="right" wrapText="1"/>
    </xf>
    <xf numFmtId="0" fontId="0" fillId="2" borderId="6" xfId="0" applyFill="1" applyBorder="1" applyAlignment="1">
      <alignment horizontal="right" wrapText="1"/>
    </xf>
    <xf numFmtId="0" fontId="0" fillId="2" borderId="3" xfId="0" applyFill="1" applyBorder="1" applyAlignment="1">
      <alignment horizontal="right" wrapText="1"/>
    </xf>
    <xf numFmtId="0" fontId="0" fillId="2" borderId="0" xfId="0" applyFill="1" applyAlignment="1">
      <alignment horizontal="right" wrapText="1"/>
    </xf>
    <xf numFmtId="14" fontId="24" fillId="3" borderId="7" xfId="0" applyNumberFormat="1" applyFont="1" applyFill="1" applyBorder="1" applyAlignment="1">
      <alignment wrapText="1"/>
    </xf>
    <xf numFmtId="164" fontId="6" fillId="5" borderId="12" xfId="0" applyNumberFormat="1" applyFont="1" applyFill="1" applyBorder="1" applyAlignment="1">
      <alignment wrapText="1"/>
    </xf>
    <xf numFmtId="14" fontId="3" fillId="3" borderId="13" xfId="1" applyNumberFormat="1" applyFill="1" applyBorder="1" applyAlignment="1">
      <alignment horizontal="right" wrapText="1"/>
    </xf>
    <xf numFmtId="0" fontId="3" fillId="3" borderId="7" xfId="1" applyFill="1" applyBorder="1" applyAlignment="1">
      <alignment horizontal="right" wrapText="1"/>
    </xf>
    <xf numFmtId="0" fontId="0" fillId="5" borderId="12" xfId="0" applyFill="1" applyBorder="1" applyAlignment="1">
      <alignment wrapText="1"/>
    </xf>
    <xf numFmtId="0" fontId="3" fillId="3" borderId="7" xfId="1" applyFill="1" applyBorder="1" applyAlignment="1">
      <alignment wrapText="1"/>
    </xf>
    <xf numFmtId="0" fontId="24" fillId="5" borderId="5" xfId="0" applyFont="1" applyFill="1" applyBorder="1" applyAlignment="1">
      <alignment wrapText="1"/>
    </xf>
    <xf numFmtId="0" fontId="11" fillId="0" borderId="15" xfId="0" applyFont="1" applyBorder="1" applyAlignment="1">
      <alignment wrapText="1"/>
    </xf>
    <xf numFmtId="0" fontId="32" fillId="0" borderId="12" xfId="0" applyFont="1" applyBorder="1" applyAlignment="1">
      <alignment wrapText="1"/>
    </xf>
    <xf numFmtId="0" fontId="3" fillId="5" borderId="9" xfId="1" applyFill="1" applyBorder="1" applyAlignment="1">
      <alignment wrapText="1"/>
    </xf>
    <xf numFmtId="0" fontId="0" fillId="5" borderId="0" xfId="0" applyFill="1" applyAlignment="1">
      <alignment wrapText="1"/>
    </xf>
    <xf numFmtId="0" fontId="0" fillId="0" borderId="12" xfId="0" applyBorder="1"/>
    <xf numFmtId="16" fontId="3" fillId="5" borderId="9" xfId="1" applyNumberFormat="1" applyFill="1" applyBorder="1" applyAlignment="1">
      <alignment wrapText="1"/>
    </xf>
    <xf numFmtId="0" fontId="3" fillId="4" borderId="13" xfId="1" applyFill="1" applyBorder="1"/>
    <xf numFmtId="0" fontId="2" fillId="2" borderId="10" xfId="0" applyFont="1" applyFill="1" applyBorder="1" applyAlignment="1">
      <alignment horizontal="center" wrapText="1"/>
    </xf>
    <xf numFmtId="16" fontId="3" fillId="5" borderId="12" xfId="1" applyNumberFormat="1" applyFill="1" applyBorder="1" applyAlignment="1">
      <alignment wrapText="1"/>
    </xf>
    <xf numFmtId="16" fontId="3" fillId="0" borderId="12" xfId="1" applyNumberFormat="1" applyFill="1" applyBorder="1" applyAlignment="1">
      <alignment wrapText="1"/>
    </xf>
    <xf numFmtId="0" fontId="0" fillId="4" borderId="12" xfId="0" applyFill="1" applyBorder="1" applyAlignment="1">
      <alignment wrapText="1"/>
    </xf>
    <xf numFmtId="0" fontId="0" fillId="5" borderId="12" xfId="0" applyFill="1" applyBorder="1" applyAlignment="1">
      <alignment vertical="center" wrapText="1"/>
    </xf>
    <xf numFmtId="0" fontId="3" fillId="4" borderId="12" xfId="1" applyFill="1" applyBorder="1" applyAlignment="1">
      <alignment wrapText="1"/>
    </xf>
    <xf numFmtId="0" fontId="3" fillId="3" borderId="12" xfId="1" applyFill="1" applyBorder="1" applyAlignment="1">
      <alignment wrapText="1"/>
    </xf>
    <xf numFmtId="0" fontId="3" fillId="5" borderId="10" xfId="1" applyFill="1" applyBorder="1" applyAlignment="1">
      <alignment wrapText="1"/>
    </xf>
    <xf numFmtId="0" fontId="0" fillId="0" borderId="14" xfId="0" applyBorder="1"/>
    <xf numFmtId="0" fontId="0" fillId="5" borderId="7" xfId="0" applyFill="1" applyBorder="1" applyAlignment="1">
      <alignment wrapText="1"/>
    </xf>
    <xf numFmtId="0" fontId="3" fillId="5" borderId="7" xfId="1" applyFill="1" applyBorder="1" applyAlignment="1">
      <alignment wrapText="1"/>
    </xf>
    <xf numFmtId="16" fontId="3" fillId="5" borderId="10" xfId="1" applyNumberFormat="1" applyFill="1" applyBorder="1" applyAlignment="1">
      <alignment wrapText="1"/>
    </xf>
    <xf numFmtId="0" fontId="0" fillId="0" borderId="0" xfId="0" applyAlignment="1">
      <alignment vertical="top" wrapText="1"/>
    </xf>
    <xf numFmtId="0" fontId="0" fillId="0" borderId="0" xfId="0" applyAlignment="1">
      <alignment vertical="top"/>
    </xf>
    <xf numFmtId="165" fontId="0" fillId="4" borderId="13" xfId="0" applyNumberFormat="1" applyFill="1" applyBorder="1" applyAlignment="1">
      <alignment vertical="top" wrapText="1"/>
    </xf>
    <xf numFmtId="49" fontId="0" fillId="0" borderId="0" xfId="0" applyNumberFormat="1" applyAlignment="1">
      <alignment vertical="top"/>
    </xf>
    <xf numFmtId="0" fontId="0" fillId="5" borderId="12" xfId="0" applyFill="1" applyBorder="1" applyAlignment="1">
      <alignment vertical="top" wrapText="1"/>
    </xf>
    <xf numFmtId="0" fontId="6" fillId="5" borderId="12" xfId="0" applyFont="1" applyFill="1" applyBorder="1" applyAlignment="1">
      <alignment vertical="top" wrapText="1"/>
    </xf>
    <xf numFmtId="0" fontId="36" fillId="5" borderId="0" xfId="0" applyFont="1" applyFill="1" applyAlignment="1">
      <alignment vertical="top" wrapText="1"/>
    </xf>
    <xf numFmtId="0" fontId="3" fillId="5" borderId="12" xfId="1" applyFill="1" applyBorder="1" applyAlignment="1">
      <alignment vertical="top" wrapText="1"/>
    </xf>
    <xf numFmtId="0" fontId="0" fillId="0" borderId="8" xfId="0" applyBorder="1"/>
    <xf numFmtId="0" fontId="3" fillId="4" borderId="8" xfId="1" applyFill="1" applyBorder="1" applyAlignment="1">
      <alignment wrapText="1"/>
    </xf>
    <xf numFmtId="0" fontId="6" fillId="0" borderId="13" xfId="0" applyFont="1" applyBorder="1" applyAlignment="1">
      <alignment wrapText="1"/>
    </xf>
    <xf numFmtId="4" fontId="0" fillId="8" borderId="12" xfId="0" applyNumberFormat="1" applyFill="1" applyBorder="1" applyAlignment="1">
      <alignment horizontal="right"/>
    </xf>
    <xf numFmtId="165" fontId="0" fillId="8" borderId="12" xfId="0" applyNumberFormat="1" applyFill="1" applyBorder="1" applyAlignment="1">
      <alignment horizontal="right" wrapText="1"/>
    </xf>
    <xf numFmtId="0" fontId="0" fillId="8" borderId="12" xfId="0" applyFill="1" applyBorder="1" applyAlignment="1">
      <alignment horizontal="right" wrapText="1"/>
    </xf>
    <xf numFmtId="0" fontId="0" fillId="8" borderId="0" xfId="0" applyFill="1"/>
    <xf numFmtId="0" fontId="37" fillId="0" borderId="12" xfId="0" applyFont="1" applyBorder="1"/>
    <xf numFmtId="0" fontId="0" fillId="4" borderId="9" xfId="0" applyFill="1" applyBorder="1" applyAlignment="1">
      <alignment wrapText="1"/>
    </xf>
    <xf numFmtId="0" fontId="39" fillId="0" borderId="0" xfId="0" applyFont="1" applyAlignment="1">
      <alignment wrapText="1"/>
    </xf>
    <xf numFmtId="0" fontId="40" fillId="0" borderId="0" xfId="0" applyFont="1" applyAlignment="1">
      <alignment wrapText="1"/>
    </xf>
    <xf numFmtId="0" fontId="0" fillId="3" borderId="5" xfId="0" applyFill="1" applyBorder="1" applyAlignment="1">
      <alignment wrapText="1"/>
    </xf>
    <xf numFmtId="4" fontId="0" fillId="0" borderId="12" xfId="0" applyNumberFormat="1" applyBorder="1" applyAlignment="1">
      <alignment horizontal="right"/>
    </xf>
    <xf numFmtId="0" fontId="0" fillId="3" borderId="12" xfId="0" applyFill="1" applyBorder="1"/>
    <xf numFmtId="0" fontId="0" fillId="3" borderId="13" xfId="0" applyFill="1" applyBorder="1" applyAlignment="1">
      <alignment horizontal="right" wrapText="1"/>
    </xf>
    <xf numFmtId="14" fontId="0" fillId="3" borderId="13" xfId="0" applyNumberFormat="1" applyFill="1" applyBorder="1"/>
    <xf numFmtId="0" fontId="0" fillId="3" borderId="0" xfId="0" applyFill="1"/>
    <xf numFmtId="0" fontId="0" fillId="3" borderId="19" xfId="0" applyFill="1" applyBorder="1"/>
    <xf numFmtId="0" fontId="0" fillId="3" borderId="14" xfId="0" applyFill="1" applyBorder="1" applyAlignment="1">
      <alignment wrapText="1"/>
    </xf>
    <xf numFmtId="4" fontId="0" fillId="0" borderId="14" xfId="0" applyNumberFormat="1" applyBorder="1" applyAlignment="1">
      <alignment horizontal="right"/>
    </xf>
    <xf numFmtId="0" fontId="0" fillId="8" borderId="12" xfId="0" applyFill="1" applyBorder="1"/>
    <xf numFmtId="4" fontId="0" fillId="5" borderId="16" xfId="0" applyNumberFormat="1" applyFill="1" applyBorder="1" applyAlignment="1">
      <alignment horizontal="right"/>
    </xf>
    <xf numFmtId="0" fontId="6" fillId="5" borderId="20" xfId="0" applyFont="1" applyFill="1" applyBorder="1" applyAlignment="1">
      <alignment horizontal="right" wrapText="1"/>
    </xf>
    <xf numFmtId="0" fontId="12" fillId="0" borderId="21" xfId="0" applyFont="1" applyBorder="1" applyAlignment="1">
      <alignment vertical="center" wrapText="1"/>
    </xf>
    <xf numFmtId="0" fontId="13" fillId="0" borderId="19" xfId="0" applyFont="1" applyBorder="1" applyAlignment="1">
      <alignment vertical="center" wrapText="1"/>
    </xf>
    <xf numFmtId="0" fontId="0" fillId="8" borderId="1" xfId="0" applyFill="1" applyBorder="1" applyAlignment="1">
      <alignment wrapText="1"/>
    </xf>
    <xf numFmtId="0" fontId="6" fillId="2" borderId="12" xfId="0" applyFont="1" applyFill="1" applyBorder="1" applyAlignment="1">
      <alignment wrapText="1"/>
    </xf>
    <xf numFmtId="0" fontId="0" fillId="2" borderId="12" xfId="0" applyFill="1" applyBorder="1" applyAlignment="1">
      <alignment wrapText="1"/>
    </xf>
    <xf numFmtId="0" fontId="41" fillId="0" borderId="12" xfId="0" applyFont="1" applyBorder="1"/>
    <xf numFmtId="0" fontId="3" fillId="2" borderId="13" xfId="1" applyFill="1" applyBorder="1" applyAlignment="1">
      <alignment wrapText="1"/>
    </xf>
    <xf numFmtId="0" fontId="6" fillId="2" borderId="7" xfId="0" applyFont="1" applyFill="1" applyBorder="1"/>
    <xf numFmtId="0" fontId="0" fillId="2" borderId="7" xfId="0" applyFill="1" applyBorder="1"/>
    <xf numFmtId="166" fontId="0" fillId="8" borderId="12" xfId="0" applyNumberFormat="1" applyFill="1" applyBorder="1" applyAlignment="1">
      <alignment horizontal="right" wrapText="1"/>
    </xf>
    <xf numFmtId="0" fontId="0" fillId="2" borderId="12" xfId="0" applyFill="1" applyBorder="1"/>
    <xf numFmtId="16" fontId="0" fillId="5" borderId="12" xfId="0" applyNumberFormat="1" applyFill="1" applyBorder="1" applyAlignment="1">
      <alignment wrapText="1"/>
    </xf>
    <xf numFmtId="0" fontId="29" fillId="0" borderId="12" xfId="0" applyFont="1" applyBorder="1"/>
    <xf numFmtId="16" fontId="3" fillId="5" borderId="20" xfId="1" applyNumberFormat="1" applyFill="1" applyBorder="1" applyAlignment="1">
      <alignment wrapText="1"/>
    </xf>
    <xf numFmtId="0" fontId="24" fillId="0" borderId="19" xfId="0" applyFont="1" applyBorder="1" applyAlignment="1">
      <alignment wrapText="1"/>
    </xf>
    <xf numFmtId="0" fontId="25" fillId="0" borderId="19" xfId="0" applyFont="1" applyBorder="1" applyAlignment="1">
      <alignment wrapText="1"/>
    </xf>
    <xf numFmtId="0" fontId="0" fillId="0" borderId="14" xfId="0" applyBorder="1" applyAlignment="1">
      <alignment wrapText="1"/>
    </xf>
    <xf numFmtId="0" fontId="0" fillId="4" borderId="14" xfId="0" applyFill="1" applyBorder="1" applyAlignment="1">
      <alignment wrapText="1"/>
    </xf>
    <xf numFmtId="0" fontId="7" fillId="5" borderId="12" xfId="0" applyFont="1" applyFill="1" applyBorder="1"/>
    <xf numFmtId="0" fontId="3" fillId="3" borderId="5" xfId="1" applyFill="1" applyBorder="1" applyAlignment="1">
      <alignment wrapText="1"/>
    </xf>
    <xf numFmtId="0" fontId="3" fillId="5" borderId="15" xfId="1" applyFill="1" applyBorder="1" applyAlignment="1">
      <alignment wrapText="1"/>
    </xf>
    <xf numFmtId="0" fontId="3" fillId="2" borderId="7" xfId="1" applyFill="1" applyBorder="1" applyAlignment="1">
      <alignment wrapText="1"/>
    </xf>
    <xf numFmtId="0" fontId="0" fillId="6" borderId="12" xfId="0" applyFill="1" applyBorder="1"/>
    <xf numFmtId="0" fontId="21" fillId="5" borderId="12" xfId="0" applyFont="1" applyFill="1" applyBorder="1" applyAlignment="1">
      <alignment wrapText="1"/>
    </xf>
    <xf numFmtId="0" fontId="0" fillId="5" borderId="10" xfId="0" applyFill="1" applyBorder="1"/>
    <xf numFmtId="0" fontId="0" fillId="5" borderId="15" xfId="0" applyFill="1" applyBorder="1" applyAlignment="1">
      <alignment wrapText="1"/>
    </xf>
    <xf numFmtId="0" fontId="0" fillId="5" borderId="16" xfId="0" applyFill="1" applyBorder="1" applyAlignment="1">
      <alignment wrapText="1"/>
    </xf>
    <xf numFmtId="0" fontId="0" fillId="5" borderId="20"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23" xfId="0" applyFill="1" applyBorder="1" applyAlignment="1">
      <alignment wrapText="1"/>
    </xf>
    <xf numFmtId="0" fontId="0" fillId="5" borderId="14" xfId="0" applyFill="1" applyBorder="1" applyAlignment="1">
      <alignment wrapText="1"/>
    </xf>
    <xf numFmtId="0" fontId="3" fillId="5" borderId="14" xfId="1" applyFill="1" applyBorder="1" applyAlignment="1">
      <alignment wrapText="1"/>
    </xf>
    <xf numFmtId="0" fontId="0" fillId="8" borderId="14" xfId="0" applyFill="1" applyBorder="1"/>
    <xf numFmtId="0" fontId="3" fillId="5" borderId="26" xfId="1" applyFill="1" applyBorder="1" applyAlignment="1">
      <alignment wrapText="1"/>
    </xf>
    <xf numFmtId="0" fontId="0" fillId="8" borderId="15" xfId="0" applyFill="1" applyBorder="1"/>
    <xf numFmtId="0" fontId="0" fillId="5" borderId="20" xfId="0" applyFill="1" applyBorder="1" applyAlignment="1">
      <alignment vertical="top" wrapText="1"/>
    </xf>
    <xf numFmtId="4" fontId="0" fillId="0" borderId="14" xfId="0" applyNumberFormat="1" applyBorder="1" applyAlignment="1">
      <alignment horizontal="right" vertical="top"/>
    </xf>
    <xf numFmtId="166" fontId="0" fillId="8" borderId="12" xfId="0" applyNumberFormat="1" applyFill="1" applyBorder="1" applyAlignment="1">
      <alignment horizontal="right" vertical="top" wrapText="1"/>
    </xf>
    <xf numFmtId="0" fontId="0" fillId="3" borderId="12" xfId="0" applyFill="1" applyBorder="1" applyAlignment="1">
      <alignment vertical="top" wrapText="1"/>
    </xf>
    <xf numFmtId="14" fontId="0" fillId="3" borderId="13" xfId="0" applyNumberFormat="1" applyFill="1" applyBorder="1" applyAlignment="1">
      <alignment vertical="top"/>
    </xf>
    <xf numFmtId="0" fontId="30" fillId="0" borderId="0" xfId="0" applyFont="1" applyAlignment="1">
      <alignment vertical="top" wrapText="1"/>
    </xf>
    <xf numFmtId="0" fontId="0" fillId="2" borderId="0" xfId="0" applyFill="1" applyAlignment="1">
      <alignment vertical="top"/>
    </xf>
    <xf numFmtId="0" fontId="21" fillId="5" borderId="12" xfId="0" applyFont="1" applyFill="1" applyBorder="1" applyAlignment="1">
      <alignment vertical="top"/>
    </xf>
    <xf numFmtId="166" fontId="0" fillId="8" borderId="15" xfId="0" applyNumberFormat="1" applyFill="1" applyBorder="1" applyAlignment="1">
      <alignment horizontal="right" wrapText="1"/>
    </xf>
    <xf numFmtId="165" fontId="0" fillId="6" borderId="12" xfId="0" applyNumberFormat="1" applyFill="1" applyBorder="1" applyAlignment="1">
      <alignment horizontal="right" wrapText="1"/>
    </xf>
    <xf numFmtId="4" fontId="0" fillId="8" borderId="12" xfId="0" applyNumberFormat="1" applyFill="1" applyBorder="1" applyAlignment="1">
      <alignment horizontal="right" vertical="top" wrapText="1"/>
    </xf>
    <xf numFmtId="4" fontId="0" fillId="9" borderId="12" xfId="0" applyNumberFormat="1" applyFill="1" applyBorder="1" applyAlignment="1">
      <alignment horizontal="right" vertical="top" wrapText="1"/>
    </xf>
    <xf numFmtId="165" fontId="0" fillId="4" borderId="10" xfId="0" applyNumberFormat="1" applyFill="1" applyBorder="1" applyAlignment="1">
      <alignment horizontal="right" wrapText="1"/>
    </xf>
    <xf numFmtId="4" fontId="0" fillId="10" borderId="20" xfId="0" applyNumberFormat="1" applyFill="1" applyBorder="1" applyAlignment="1">
      <alignment horizontal="right"/>
    </xf>
    <xf numFmtId="165" fontId="0" fillId="5" borderId="20" xfId="0" applyNumberFormat="1" applyFill="1" applyBorder="1" applyAlignment="1">
      <alignment horizontal="right" wrapText="1"/>
    </xf>
    <xf numFmtId="165" fontId="0" fillId="4" borderId="20" xfId="0" applyNumberFormat="1" applyFill="1" applyBorder="1" applyAlignment="1">
      <alignment horizontal="right" wrapText="1"/>
    </xf>
    <xf numFmtId="0" fontId="0" fillId="5" borderId="20" xfId="0" applyFill="1" applyBorder="1" applyAlignment="1">
      <alignment horizontal="right" wrapText="1"/>
    </xf>
    <xf numFmtId="165" fontId="0" fillId="4" borderId="20" xfId="0" applyNumberFormat="1" applyFill="1" applyBorder="1" applyAlignment="1">
      <alignment horizontal="right" vertical="top" wrapText="1"/>
    </xf>
    <xf numFmtId="4" fontId="0" fillId="5" borderId="20" xfId="0" applyNumberFormat="1" applyFill="1" applyBorder="1" applyAlignment="1">
      <alignment horizontal="right"/>
    </xf>
    <xf numFmtId="4" fontId="0" fillId="5" borderId="18" xfId="0" applyNumberFormat="1" applyFill="1" applyBorder="1" applyAlignment="1">
      <alignment horizontal="right"/>
    </xf>
    <xf numFmtId="0" fontId="0" fillId="5" borderId="20" xfId="0" applyFill="1" applyBorder="1" applyAlignment="1">
      <alignment horizontal="right"/>
    </xf>
    <xf numFmtId="166" fontId="20" fillId="5" borderId="20" xfId="0" applyNumberFormat="1" applyFont="1" applyFill="1" applyBorder="1" applyAlignment="1">
      <alignment horizontal="right"/>
    </xf>
    <xf numFmtId="165" fontId="0" fillId="3" borderId="20" xfId="0" applyNumberFormat="1" applyFill="1" applyBorder="1" applyAlignment="1">
      <alignment horizontal="right" wrapText="1"/>
    </xf>
    <xf numFmtId="165" fontId="0" fillId="3" borderId="27" xfId="0" applyNumberFormat="1" applyFill="1" applyBorder="1" applyAlignment="1">
      <alignment horizontal="right" wrapText="1"/>
    </xf>
    <xf numFmtId="165" fontId="0" fillId="3" borderId="9" xfId="0" applyNumberFormat="1" applyFill="1" applyBorder="1" applyAlignment="1">
      <alignment horizontal="right" wrapText="1"/>
    </xf>
    <xf numFmtId="165" fontId="0" fillId="3" borderId="10" xfId="0" applyNumberFormat="1" applyFill="1" applyBorder="1" applyAlignment="1">
      <alignment horizontal="right" wrapText="1"/>
    </xf>
    <xf numFmtId="4" fontId="16" fillId="5" borderId="20" xfId="0" applyNumberFormat="1" applyFont="1" applyFill="1" applyBorder="1" applyAlignment="1">
      <alignment horizontal="right"/>
    </xf>
    <xf numFmtId="0" fontId="31" fillId="5" borderId="28" xfId="0" applyFont="1" applyFill="1" applyBorder="1" applyAlignment="1">
      <alignment horizontal="right"/>
    </xf>
    <xf numFmtId="0" fontId="8" fillId="0" borderId="19" xfId="0" applyFont="1" applyBorder="1" applyAlignment="1">
      <alignment wrapText="1"/>
    </xf>
    <xf numFmtId="0" fontId="21" fillId="0" borderId="19" xfId="0" applyFont="1" applyBorder="1" applyAlignment="1">
      <alignment wrapText="1"/>
    </xf>
    <xf numFmtId="0" fontId="11" fillId="0" borderId="19" xfId="0" applyFont="1" applyBorder="1" applyAlignment="1">
      <alignment wrapText="1"/>
    </xf>
    <xf numFmtId="0" fontId="11" fillId="9" borderId="19" xfId="0" applyFont="1" applyFill="1" applyBorder="1" applyAlignment="1">
      <alignment wrapText="1"/>
    </xf>
    <xf numFmtId="16" fontId="3" fillId="5" borderId="19" xfId="1" applyNumberFormat="1" applyFill="1" applyBorder="1" applyAlignment="1">
      <alignment wrapText="1"/>
    </xf>
    <xf numFmtId="165" fontId="0" fillId="3" borderId="19" xfId="0" applyNumberFormat="1" applyFill="1" applyBorder="1" applyAlignment="1">
      <alignment wrapText="1"/>
    </xf>
    <xf numFmtId="165" fontId="0" fillId="4" borderId="19" xfId="0" applyNumberFormat="1" applyFill="1" applyBorder="1" applyAlignment="1">
      <alignment vertical="top" wrapText="1"/>
    </xf>
    <xf numFmtId="165" fontId="0" fillId="4" borderId="19" xfId="0" applyNumberFormat="1" applyFill="1" applyBorder="1" applyAlignment="1">
      <alignment wrapText="1"/>
    </xf>
    <xf numFmtId="49" fontId="11" fillId="4" borderId="19" xfId="0" applyNumberFormat="1" applyFont="1" applyFill="1" applyBorder="1" applyAlignment="1">
      <alignment wrapText="1"/>
    </xf>
    <xf numFmtId="0" fontId="15" fillId="0" borderId="19" xfId="0" applyFont="1" applyBorder="1" applyAlignment="1">
      <alignment vertical="center" wrapText="1"/>
    </xf>
    <xf numFmtId="0" fontId="38" fillId="0" borderId="19" xfId="0" applyFont="1" applyBorder="1" applyAlignment="1">
      <alignment vertical="center" wrapText="1"/>
    </xf>
    <xf numFmtId="165" fontId="2" fillId="3" borderId="13" xfId="0" applyNumberFormat="1" applyFont="1" applyFill="1" applyBorder="1" applyAlignment="1">
      <alignment wrapText="1"/>
    </xf>
    <xf numFmtId="14" fontId="0" fillId="3" borderId="17" xfId="0" applyNumberFormat="1" applyFill="1" applyBorder="1" applyAlignment="1">
      <alignment wrapText="1"/>
    </xf>
    <xf numFmtId="0" fontId="18" fillId="0" borderId="19" xfId="0" applyFont="1" applyBorder="1" applyAlignment="1">
      <alignment wrapText="1"/>
    </xf>
    <xf numFmtId="0" fontId="0" fillId="3" borderId="19" xfId="0" applyFill="1" applyBorder="1" applyAlignment="1">
      <alignment horizontal="right" wrapText="1"/>
    </xf>
    <xf numFmtId="0" fontId="0" fillId="0" borderId="24" xfId="0" applyBorder="1" applyAlignment="1">
      <alignment wrapText="1"/>
    </xf>
    <xf numFmtId="0" fontId="6" fillId="8" borderId="10" xfId="0" applyFont="1" applyFill="1" applyBorder="1" applyAlignment="1">
      <alignment horizontal="right" wrapText="1"/>
    </xf>
    <xf numFmtId="4" fontId="0" fillId="8" borderId="15" xfId="0" applyNumberFormat="1" applyFill="1" applyBorder="1" applyAlignment="1">
      <alignment horizontal="right"/>
    </xf>
    <xf numFmtId="0" fontId="28" fillId="9" borderId="0" xfId="0" applyFont="1" applyFill="1" applyAlignment="1">
      <alignment wrapText="1"/>
    </xf>
    <xf numFmtId="165" fontId="0" fillId="3" borderId="12" xfId="0" applyNumberFormat="1" applyFill="1" applyBorder="1" applyAlignment="1">
      <alignment horizontal="right" wrapText="1"/>
    </xf>
    <xf numFmtId="0" fontId="0" fillId="5" borderId="20" xfId="0" applyFill="1" applyBorder="1"/>
    <xf numFmtId="0" fontId="0" fillId="3" borderId="27" xfId="0" applyFill="1" applyBorder="1"/>
    <xf numFmtId="4" fontId="0" fillId="8" borderId="19" xfId="0" applyNumberFormat="1" applyFill="1" applyBorder="1" applyAlignment="1">
      <alignment horizontal="right"/>
    </xf>
    <xf numFmtId="0" fontId="3" fillId="5" borderId="22" xfId="1" applyFill="1" applyBorder="1" applyAlignment="1">
      <alignment wrapText="1"/>
    </xf>
    <xf numFmtId="166" fontId="0" fillId="8" borderId="14" xfId="0" applyNumberFormat="1" applyFill="1" applyBorder="1" applyAlignment="1">
      <alignment horizontal="right" wrapText="1"/>
    </xf>
    <xf numFmtId="0" fontId="3" fillId="5" borderId="29" xfId="1" applyFill="1" applyBorder="1" applyAlignment="1">
      <alignment wrapText="1"/>
    </xf>
    <xf numFmtId="166" fontId="19" fillId="3" borderId="27" xfId="1" applyNumberFormat="1" applyFont="1" applyFill="1" applyBorder="1" applyAlignment="1">
      <alignment wrapText="1"/>
    </xf>
    <xf numFmtId="0" fontId="42" fillId="7" borderId="0" xfId="0" applyFont="1" applyFill="1" applyAlignment="1">
      <alignment wrapText="1"/>
    </xf>
    <xf numFmtId="14" fontId="24" fillId="5" borderId="12" xfId="0" applyNumberFormat="1" applyFont="1" applyFill="1" applyBorder="1" applyAlignment="1">
      <alignment wrapText="1"/>
    </xf>
    <xf numFmtId="4" fontId="0" fillId="8" borderId="23" xfId="0" applyNumberFormat="1" applyFill="1" applyBorder="1" applyAlignment="1">
      <alignment horizontal="right"/>
    </xf>
    <xf numFmtId="14" fontId="24" fillId="5" borderId="5" xfId="0" applyNumberFormat="1" applyFont="1" applyFill="1" applyBorder="1" applyAlignment="1">
      <alignment wrapText="1"/>
    </xf>
    <xf numFmtId="4" fontId="0" fillId="8" borderId="24" xfId="0" applyNumberFormat="1" applyFill="1" applyBorder="1" applyAlignment="1">
      <alignment horizontal="right"/>
    </xf>
    <xf numFmtId="0" fontId="43" fillId="0" borderId="12" xfId="0" applyFont="1" applyBorder="1"/>
    <xf numFmtId="0" fontId="44" fillId="0" borderId="12" xfId="0" applyFont="1" applyBorder="1"/>
    <xf numFmtId="0" fontId="3" fillId="5" borderId="20" xfId="1" applyFill="1" applyBorder="1" applyAlignment="1">
      <alignment wrapText="1"/>
    </xf>
    <xf numFmtId="166" fontId="0" fillId="8" borderId="19" xfId="0" applyNumberFormat="1" applyFill="1" applyBorder="1" applyAlignment="1">
      <alignment horizontal="right" wrapText="1"/>
    </xf>
    <xf numFmtId="166" fontId="0" fillId="8" borderId="30" xfId="0" applyNumberFormat="1" applyFill="1" applyBorder="1" applyAlignment="1">
      <alignment horizontal="right" wrapText="1"/>
    </xf>
    <xf numFmtId="165" fontId="0" fillId="3" borderId="14" xfId="0" applyNumberFormat="1" applyFill="1" applyBorder="1" applyAlignment="1">
      <alignment horizontal="right" wrapText="1"/>
    </xf>
    <xf numFmtId="0" fontId="0" fillId="3" borderId="15" xfId="0" applyFill="1" applyBorder="1" applyAlignment="1">
      <alignment wrapText="1"/>
    </xf>
    <xf numFmtId="164" fontId="6" fillId="5" borderId="15" xfId="0" applyNumberFormat="1" applyFont="1" applyFill="1" applyBorder="1" applyAlignment="1">
      <alignment wrapText="1"/>
    </xf>
    <xf numFmtId="16" fontId="0" fillId="5" borderId="14" xfId="0" applyNumberFormat="1" applyFill="1" applyBorder="1" applyAlignment="1">
      <alignment wrapText="1"/>
    </xf>
    <xf numFmtId="0" fontId="0" fillId="11" borderId="0" xfId="0" applyFill="1"/>
    <xf numFmtId="0" fontId="21" fillId="11" borderId="12" xfId="0" applyFont="1" applyFill="1" applyBorder="1" applyAlignment="1">
      <alignment wrapText="1"/>
    </xf>
    <xf numFmtId="0" fontId="3" fillId="11" borderId="20" xfId="1" applyFill="1" applyBorder="1" applyAlignment="1">
      <alignment wrapText="1"/>
    </xf>
    <xf numFmtId="0" fontId="0" fillId="11" borderId="15" xfId="0" applyFill="1" applyBorder="1" applyAlignment="1">
      <alignment wrapText="1"/>
    </xf>
    <xf numFmtId="164" fontId="6" fillId="11" borderId="15" xfId="0" applyNumberFormat="1" applyFont="1" applyFill="1" applyBorder="1" applyAlignment="1">
      <alignment wrapText="1"/>
    </xf>
    <xf numFmtId="166" fontId="0" fillId="11" borderId="19" xfId="0" applyNumberFormat="1" applyFill="1" applyBorder="1" applyAlignment="1">
      <alignment horizontal="right" wrapText="1"/>
    </xf>
    <xf numFmtId="4" fontId="0" fillId="11" borderId="24" xfId="0" applyNumberFormat="1" applyFill="1" applyBorder="1" applyAlignment="1">
      <alignment horizontal="right"/>
    </xf>
    <xf numFmtId="14" fontId="0" fillId="11" borderId="13" xfId="0" applyNumberFormat="1" applyFill="1" applyBorder="1" applyAlignment="1">
      <alignment wrapText="1"/>
    </xf>
    <xf numFmtId="0" fontId="29" fillId="11" borderId="0" xfId="0" applyFont="1" applyFill="1" applyAlignment="1">
      <alignment wrapText="1"/>
    </xf>
    <xf numFmtId="165" fontId="0" fillId="5" borderId="12" xfId="0" applyNumberFormat="1" applyFill="1" applyBorder="1" applyAlignment="1">
      <alignment horizontal="right" wrapText="1"/>
    </xf>
    <xf numFmtId="165" fontId="0" fillId="4" borderId="12" xfId="0" applyNumberFormat="1" applyFill="1" applyBorder="1" applyAlignment="1">
      <alignment horizontal="right" wrapText="1"/>
    </xf>
    <xf numFmtId="0" fontId="0" fillId="0" borderId="12" xfId="0" applyBorder="1" applyAlignment="1">
      <alignment vertical="top" wrapText="1"/>
    </xf>
    <xf numFmtId="0" fontId="3" fillId="4" borderId="31" xfId="1" applyFill="1" applyBorder="1" applyAlignment="1">
      <alignment wrapText="1"/>
    </xf>
    <xf numFmtId="165" fontId="0" fillId="5" borderId="18" xfId="0" applyNumberFormat="1" applyFill="1" applyBorder="1" applyAlignment="1">
      <alignment horizontal="right" wrapText="1"/>
    </xf>
    <xf numFmtId="165" fontId="0" fillId="8" borderId="14" xfId="0" applyNumberFormat="1" applyFill="1" applyBorder="1" applyAlignment="1">
      <alignment horizontal="right" wrapText="1"/>
    </xf>
    <xf numFmtId="0" fontId="0" fillId="5" borderId="29" xfId="0" applyFill="1" applyBorder="1" applyAlignment="1">
      <alignment wrapText="1"/>
    </xf>
    <xf numFmtId="0" fontId="0" fillId="0" borderId="22" xfId="0" applyBorder="1"/>
    <xf numFmtId="0" fontId="10" fillId="0" borderId="21" xfId="0" applyFont="1" applyBorder="1"/>
    <xf numFmtId="165" fontId="0" fillId="8" borderId="15" xfId="0" applyNumberFormat="1" applyFill="1" applyBorder="1" applyAlignment="1">
      <alignment horizontal="right" wrapText="1"/>
    </xf>
    <xf numFmtId="0" fontId="1" fillId="5" borderId="12" xfId="0" applyFont="1" applyFill="1" applyBorder="1" applyAlignment="1">
      <alignment wrapText="1"/>
    </xf>
    <xf numFmtId="0" fontId="1" fillId="5" borderId="12" xfId="0" applyFont="1" applyFill="1" applyBorder="1" applyAlignment="1">
      <alignment vertical="top" wrapText="1"/>
    </xf>
    <xf numFmtId="0" fontId="1" fillId="5" borderId="25" xfId="0" applyFont="1" applyFill="1" applyBorder="1" applyAlignment="1">
      <alignment wrapText="1"/>
    </xf>
    <xf numFmtId="0" fontId="1" fillId="5" borderId="22" xfId="0" applyFont="1" applyFill="1" applyBorder="1" applyAlignment="1">
      <alignment wrapText="1"/>
    </xf>
    <xf numFmtId="0" fontId="1" fillId="5" borderId="14" xfId="0" applyFont="1" applyFill="1" applyBorder="1" applyAlignment="1">
      <alignment wrapText="1"/>
    </xf>
    <xf numFmtId="0" fontId="1" fillId="0" borderId="22" xfId="0" applyFont="1" applyBorder="1" applyAlignment="1">
      <alignment wrapText="1"/>
    </xf>
    <xf numFmtId="0" fontId="1" fillId="11" borderId="22" xfId="0" applyFont="1" applyFill="1" applyBorder="1" applyAlignment="1">
      <alignment wrapText="1"/>
    </xf>
    <xf numFmtId="0" fontId="1" fillId="0" borderId="12" xfId="0" applyFont="1" applyBorder="1" applyAlignment="1">
      <alignment wrapText="1"/>
    </xf>
    <xf numFmtId="0" fontId="2" fillId="2" borderId="0" xfId="0" applyFont="1" applyFill="1" applyAlignment="1">
      <alignment horizontal="center"/>
    </xf>
    <xf numFmtId="49" fontId="0" fillId="2" borderId="16" xfId="0" applyNumberFormat="1" applyFill="1" applyBorder="1" applyAlignment="1">
      <alignment horizontal="center"/>
    </xf>
    <xf numFmtId="49" fontId="0" fillId="2" borderId="0" xfId="0" applyNumberForma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32</xdr:row>
      <xdr:rowOff>0</xdr:rowOff>
    </xdr:from>
    <xdr:to>
      <xdr:col>20</xdr:col>
      <xdr:colOff>266700</xdr:colOff>
      <xdr:row>32</xdr:row>
      <xdr:rowOff>971550</xdr:rowOff>
    </xdr:to>
    <xdr:pic>
      <xdr:nvPicPr>
        <xdr:cNvPr id="2" name="Picture 1">
          <a:extLst>
            <a:ext uri="{FF2B5EF4-FFF2-40B4-BE49-F238E27FC236}">
              <a16:creationId xmlns:a16="http://schemas.microsoft.com/office/drawing/2014/main" id="{B5D51A5C-EA7F-8B9A-27BD-7BBC21C84AD3}"/>
            </a:ext>
          </a:extLst>
        </xdr:cNvPr>
        <xdr:cNvPicPr>
          <a:picLocks noChangeAspect="1"/>
        </xdr:cNvPicPr>
      </xdr:nvPicPr>
      <xdr:blipFill>
        <a:blip xmlns:r="http://schemas.openxmlformats.org/officeDocument/2006/relationships" r:embed="rId1"/>
        <a:stretch>
          <a:fillRect/>
        </a:stretch>
      </xdr:blipFill>
      <xdr:spPr>
        <a:xfrm>
          <a:off x="14382750" y="16687800"/>
          <a:ext cx="6858000" cy="9715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Helicon Admin" id="{2296E4E2-6918-43A4-8BE0-54F272AE5950}" userId="S::admin@helicon.co.nz::2b621729-b73d-46f4-aae1-68760268b28b" providerId="AD"/>
</personList>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37" dT="2025-03-16T21:49:08.94" personId="{2296E4E2-6918-43A4-8BE0-54F272AE5950}" id="{1197C90C-DE15-4D51-8504-82449E5C1299}">
    <text xml:space="preserve">Regards to pricing the doors in this project due to being an apartment there most likely is some Fire Doors.
Do you have a spec or a door schedule available so we can price the doors?
</text>
  </threadedComment>
  <threadedComment ref="L37" dT="2025-03-16T21:49:26.42" personId="{2296E4E2-6918-43A4-8BE0-54F272AE5950}" id="{A832EAAE-733E-4681-9647-D49601AE9EAB}" parentId="{1197C90C-DE15-4D51-8504-82449E5C1299}">
    <text xml:space="preserve">not yet
</text>
  </threadedComment>
  <threadedComment ref="L61" dT="2025-03-14T00:57:45.01" personId="{2296E4E2-6918-43A4-8BE0-54F272AE5950}" id="{5D69E8BD-9DC4-4FBA-B714-7C51B0620E94}">
    <text>Please can you confirm the following requirement you require from us?
This being mostly Block walls with any other timber framing we will do as random supply.
Regards the block work etc what are you after here? will your subbie block layer include this supply of blocks?
The steel reo in blocks and flooring do you want us to arrange a price for this or is this with the subbie, floor layers and block subbie?
I have down to price the windows, roof, doors, garage doors, Trusses, Gib, Cladding and random timber framing etc
Let me know anything else and also above.</text>
  </threadedComment>
  <threadedComment ref="L61" dT="2025-03-14T00:59:30.37" personId="{2296E4E2-6918-43A4-8BE0-54F272AE5950}" id="{75263173-6D15-43CB-A946-5EA95FF5DF05}" parentId="{5D69E8BD-9DC4-4FBA-B714-7C51B0620E94}">
    <text xml:space="preserve">Following your questions:
This being mostly Block walls with any other timber framing we will do as random supply.
Regards the block work etc what are you after here? will your subbie block layer include this supply of blocks?
Please supply of blocks
The steel reo in blocks and flooring do you want us to arrange a price for this or is this with the subbie, floor layers and block subbie?
Yes
Also wind Zone , what is it? just can't see this on the plans?
Can you provide quote for high wind zone?
</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mailto:mark@catplumbing.co.nz" TargetMode="External"/><Relationship Id="rId18" Type="http://schemas.openxmlformats.org/officeDocument/2006/relationships/hyperlink" Target="mailto:evgeny@econ.kiwi" TargetMode="External"/><Relationship Id="rId26" Type="http://schemas.openxmlformats.org/officeDocument/2006/relationships/hyperlink" Target="mailto:office@timberfloor.nz" TargetMode="External"/><Relationship Id="rId39" Type="http://schemas.openxmlformats.org/officeDocument/2006/relationships/hyperlink" Target="mailto:evgeny@econ.kiwi" TargetMode="External"/><Relationship Id="rId21" Type="http://schemas.openxmlformats.org/officeDocument/2006/relationships/hyperlink" Target="mailto:Procutearthworks@gmail.com" TargetMode="External"/><Relationship Id="rId34" Type="http://schemas.openxmlformats.org/officeDocument/2006/relationships/hyperlink" Target="mailto:info@precasthq.co.nz" TargetMode="External"/><Relationship Id="rId42" Type="http://schemas.openxmlformats.org/officeDocument/2006/relationships/hyperlink" Target="mailto:james.d@firecontrol.co.nz" TargetMode="External"/><Relationship Id="rId47" Type="http://schemas.openxmlformats.org/officeDocument/2006/relationships/hyperlink" Target="mailto:info@viridianglass.co.nz" TargetMode="External"/><Relationship Id="rId50" Type="http://schemas.openxmlformats.org/officeDocument/2006/relationships/drawing" Target="../drawings/drawing1.xml"/><Relationship Id="rId7" Type="http://schemas.openxmlformats.org/officeDocument/2006/relationships/hyperlink" Target="mailto:eddie@constra.co.nz" TargetMode="External"/><Relationship Id="rId2" Type="http://schemas.openxmlformats.org/officeDocument/2006/relationships/hyperlink" Target="mailto:info@jmmc.co.nz" TargetMode="External"/><Relationship Id="rId16" Type="http://schemas.openxmlformats.org/officeDocument/2006/relationships/hyperlink" Target="mailto:volkwaterproofing@gmail.com" TargetMode="External"/><Relationship Id="rId29" Type="http://schemas.openxmlformats.org/officeDocument/2006/relationships/hyperlink" Target="mailto:admin@taylorsuperclad.co.nz" TargetMode="External"/><Relationship Id="rId11" Type="http://schemas.openxmlformats.org/officeDocument/2006/relationships/hyperlink" Target="mailto:noble.structural@gmail.com" TargetMode="External"/><Relationship Id="rId24" Type="http://schemas.openxmlformats.org/officeDocument/2006/relationships/hyperlink" Target="mailto:lyndon@uelifts.co.nz" TargetMode="External"/><Relationship Id="rId32" Type="http://schemas.openxmlformats.org/officeDocument/2006/relationships/hyperlink" Target="mailto:messaging-service@post.servicem8.com" TargetMode="External"/><Relationship Id="rId37" Type="http://schemas.openxmlformats.org/officeDocument/2006/relationships/hyperlink" Target="mailto:info@constantltd.co.nz" TargetMode="External"/><Relationship Id="rId40" Type="http://schemas.openxmlformats.org/officeDocument/2006/relationships/hyperlink" Target="mailto:eddie@brillbricklaying.co.nz" TargetMode="External"/><Relationship Id="rId45" Type="http://schemas.openxmlformats.org/officeDocument/2006/relationships/hyperlink" Target="mailto:dean@polishedconcrete.co.nz" TargetMode="External"/><Relationship Id="rId53" Type="http://schemas.microsoft.com/office/2017/10/relationships/threadedComment" Target="../threadedComments/threadedComment1.xml"/><Relationship Id="rId5" Type="http://schemas.openxmlformats.org/officeDocument/2006/relationships/hyperlink" Target="mailto:bblakey@albanytimber.co.nz" TargetMode="External"/><Relationship Id="rId10" Type="http://schemas.openxmlformats.org/officeDocument/2006/relationships/hyperlink" Target="mailto:roddy@hiqualdoors.co.nz" TargetMode="External"/><Relationship Id="rId19" Type="http://schemas.openxmlformats.org/officeDocument/2006/relationships/hyperlink" Target="mailto:leyla@ttconcrete.co.nz" TargetMode="External"/><Relationship Id="rId31" Type="http://schemas.openxmlformats.org/officeDocument/2006/relationships/hyperlink" Target="mailto:bruce@unionwaterproofing.co.nz" TargetMode="External"/><Relationship Id="rId44" Type="http://schemas.openxmlformats.org/officeDocument/2006/relationships/hyperlink" Target="mailto:james.d@firecontrol.co.nz" TargetMode="External"/><Relationship Id="rId52" Type="http://schemas.openxmlformats.org/officeDocument/2006/relationships/comments" Target="../comments1.xml"/><Relationship Id="rId4" Type="http://schemas.openxmlformats.org/officeDocument/2006/relationships/hyperlink" Target="mailto:Phil.Leggett@mitre10.co.nz" TargetMode="External"/><Relationship Id="rId9" Type="http://schemas.openxmlformats.org/officeDocument/2006/relationships/hyperlink" Target="mailto:stegltd@gmail.com" TargetMode="External"/><Relationship Id="rId14" Type="http://schemas.openxmlformats.org/officeDocument/2006/relationships/hyperlink" Target="mailto:tenders@formstress.co.nz,%20Greg%20Johnston%20%3cgreg@formstress.co.nz" TargetMode="External"/><Relationship Id="rId22" Type="http://schemas.openxmlformats.org/officeDocument/2006/relationships/hyperlink" Target="mailto:jamie@build2.co.nz" TargetMode="External"/><Relationship Id="rId27" Type="http://schemas.openxmlformats.org/officeDocument/2006/relationships/hyperlink" Target="mailto:uniquefinishesplastering@gmail.com" TargetMode="External"/><Relationship Id="rId30" Type="http://schemas.openxmlformats.org/officeDocument/2006/relationships/hyperlink" Target="mailto:sales@aucklandgates.co.nz" TargetMode="External"/><Relationship Id="rId35" Type="http://schemas.openxmlformats.org/officeDocument/2006/relationships/hyperlink" Target="mailto:tenders@formstress.co.nz,%20Greg%20Johnston%20%3cgreg@formstress.co.nz" TargetMode="External"/><Relationship Id="rId43" Type="http://schemas.openxmlformats.org/officeDocument/2006/relationships/hyperlink" Target="mailto:ak@guardianalarms.co.nz" TargetMode="External"/><Relationship Id="rId48" Type="http://schemas.openxmlformats.org/officeDocument/2006/relationships/hyperlink" Target="mailto:east.slava@gmail.com" TargetMode="External"/><Relationship Id="rId8" Type="http://schemas.openxmlformats.org/officeDocument/2006/relationships/hyperlink" Target="mailto:Phil.Leggett@mitre10.co.nz" TargetMode="External"/><Relationship Id="rId51" Type="http://schemas.openxmlformats.org/officeDocument/2006/relationships/vmlDrawing" Target="../drawings/vmlDrawing1.vml"/><Relationship Id="rId3" Type="http://schemas.openxmlformats.org/officeDocument/2006/relationships/hyperlink" Target="mailto:cuberenovation@gmail.com" TargetMode="External"/><Relationship Id="rId12" Type="http://schemas.openxmlformats.org/officeDocument/2006/relationships/hyperlink" Target="mailto:Info@nevflowplumbing.co.nz%20%3cInfo@nevflowplumbing.co.nz" TargetMode="External"/><Relationship Id="rId17" Type="http://schemas.openxmlformats.org/officeDocument/2006/relationships/hyperlink" Target="mailto:Phil.Leggett@mitre10.co.nz" TargetMode="External"/><Relationship Id="rId25" Type="http://schemas.openxmlformats.org/officeDocument/2006/relationships/hyperlink" Target="mailto:admin@lifts.co.nz" TargetMode="External"/><Relationship Id="rId33" Type="http://schemas.openxmlformats.org/officeDocument/2006/relationships/hyperlink" Target="mailto:stegltd@gmail.com" TargetMode="External"/><Relationship Id="rId38" Type="http://schemas.openxmlformats.org/officeDocument/2006/relationships/hyperlink" Target="mailto:evgeny@econ.kiwi" TargetMode="External"/><Relationship Id="rId46" Type="http://schemas.openxmlformats.org/officeDocument/2006/relationships/hyperlink" Target="mailto:dean@polishedconcrete.co.nz" TargetMode="External"/><Relationship Id="rId20" Type="http://schemas.openxmlformats.org/officeDocument/2006/relationships/hyperlink" Target="mailto:info@bslscaffolding.co.nz" TargetMode="External"/><Relationship Id="rId41" Type="http://schemas.openxmlformats.org/officeDocument/2006/relationships/hyperlink" Target="mailto:eddie@brillbricklaying.co.nz" TargetMode="External"/><Relationship Id="rId1" Type="http://schemas.openxmlformats.org/officeDocument/2006/relationships/hyperlink" Target="mailto:noel@mooremasonry.co.nz" TargetMode="External"/><Relationship Id="rId6" Type="http://schemas.openxmlformats.org/officeDocument/2006/relationships/hyperlink" Target="mailto:phil@p1bb.co.nz" TargetMode="External"/><Relationship Id="rId15" Type="http://schemas.openxmlformats.org/officeDocument/2006/relationships/hyperlink" Target="mailto:akl.cutandbend@unitedsteel.co.nz" TargetMode="External"/><Relationship Id="rId23" Type="http://schemas.openxmlformats.org/officeDocument/2006/relationships/hyperlink" Target="mailto:daniel@selectroofing.co.nz" TargetMode="External"/><Relationship Id="rId28" Type="http://schemas.openxmlformats.org/officeDocument/2006/relationships/hyperlink" Target="mailto:weatherrightsolution@gmail.com" TargetMode="External"/><Relationship Id="rId36" Type="http://schemas.openxmlformats.org/officeDocument/2006/relationships/hyperlink" Target="mailto:geoff@ghl.kiwi" TargetMode="External"/><Relationship Id="rId4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AEA4C-B8F6-433D-AE65-22CD53E78ED0}">
  <dimension ref="A2:S94"/>
  <sheetViews>
    <sheetView tabSelected="1" topLeftCell="A62" zoomScale="85" zoomScaleNormal="85" workbookViewId="0">
      <selection activeCell="D72" sqref="D72"/>
    </sheetView>
  </sheetViews>
  <sheetFormatPr defaultRowHeight="14.5"/>
  <cols>
    <col min="1" max="1" width="5.453125" customWidth="1"/>
    <col min="2" max="2" width="22.7265625" style="13" customWidth="1"/>
    <col min="3" max="4" width="21.81640625" style="13" customWidth="1"/>
    <col min="5" max="6" width="30.7265625" style="13" customWidth="1"/>
    <col min="7" max="7" width="21.1796875" style="13" customWidth="1"/>
    <col min="8" max="8" width="16.1796875" style="13" customWidth="1"/>
    <col min="9" max="9" width="14.1796875" style="68" customWidth="1"/>
    <col min="10" max="11" width="19.7265625" style="68" customWidth="1"/>
    <col min="12" max="12" width="62.81640625" style="13" customWidth="1"/>
    <col min="13" max="13" width="12.453125" customWidth="1"/>
    <col min="14" max="14" width="16.54296875" style="52" customWidth="1"/>
    <col min="17" max="17" width="36.54296875" bestFit="1" customWidth="1"/>
  </cols>
  <sheetData>
    <row r="2" spans="1:15">
      <c r="B2" s="13" t="s">
        <v>0</v>
      </c>
    </row>
    <row r="3" spans="1:15">
      <c r="B3" s="268" t="s">
        <v>1</v>
      </c>
      <c r="C3" s="268"/>
      <c r="D3" s="268"/>
      <c r="E3" s="268"/>
      <c r="F3" s="268"/>
      <c r="G3" s="268"/>
      <c r="H3" s="268"/>
      <c r="I3" s="268"/>
      <c r="J3" s="268"/>
      <c r="K3" s="268"/>
      <c r="L3" s="268"/>
    </row>
    <row r="5" spans="1:15" ht="43.5">
      <c r="B5" s="26" t="s">
        <v>2</v>
      </c>
      <c r="C5" s="26" t="s">
        <v>3</v>
      </c>
      <c r="D5" s="26" t="s">
        <v>4</v>
      </c>
      <c r="E5" s="27" t="s">
        <v>5</v>
      </c>
      <c r="F5" s="27" t="s">
        <v>6</v>
      </c>
      <c r="G5" s="93" t="s">
        <v>7</v>
      </c>
      <c r="H5" s="27" t="s">
        <v>8</v>
      </c>
      <c r="I5" s="69" t="s">
        <v>9</v>
      </c>
      <c r="J5" s="216" t="s">
        <v>10</v>
      </c>
      <c r="K5" s="216" t="s">
        <v>11</v>
      </c>
      <c r="L5" s="30" t="s">
        <v>12</v>
      </c>
      <c r="M5" s="30" t="s">
        <v>13</v>
      </c>
    </row>
    <row r="6" spans="1:15">
      <c r="A6">
        <v>1</v>
      </c>
      <c r="B6" s="37" t="s">
        <v>14</v>
      </c>
      <c r="C6" s="37" t="s">
        <v>15</v>
      </c>
      <c r="D6" s="37" t="s">
        <v>16</v>
      </c>
      <c r="E6" s="40" t="s">
        <v>17</v>
      </c>
      <c r="F6" s="91" t="s">
        <v>18</v>
      </c>
      <c r="G6" s="133" t="s">
        <v>19</v>
      </c>
      <c r="H6" s="92">
        <v>272524746</v>
      </c>
      <c r="I6" s="184"/>
      <c r="J6" s="117">
        <v>261850</v>
      </c>
      <c r="K6" s="117">
        <f>J6*1.15</f>
        <v>301127.5</v>
      </c>
      <c r="L6"/>
      <c r="M6" s="36"/>
    </row>
    <row r="7" spans="1:15" ht="29">
      <c r="A7">
        <v>2</v>
      </c>
      <c r="B7" s="37" t="s">
        <v>14</v>
      </c>
      <c r="C7" s="37" t="s">
        <v>20</v>
      </c>
      <c r="D7" s="37" t="s">
        <v>21</v>
      </c>
      <c r="E7" s="40" t="s">
        <v>22</v>
      </c>
      <c r="F7" s="91" t="s">
        <v>23</v>
      </c>
      <c r="G7" s="90" t="s">
        <v>19</v>
      </c>
      <c r="H7" s="113" t="s">
        <v>24</v>
      </c>
      <c r="I7" s="185">
        <v>302294.75</v>
      </c>
      <c r="J7" s="116"/>
      <c r="K7" s="117">
        <f>I7*1.15</f>
        <v>347638.96249999997</v>
      </c>
      <c r="L7" s="200" t="s">
        <v>25</v>
      </c>
      <c r="M7" s="115" t="s">
        <v>26</v>
      </c>
    </row>
    <row r="8" spans="1:15" ht="29">
      <c r="A8">
        <v>2</v>
      </c>
      <c r="B8" s="37" t="s">
        <v>14</v>
      </c>
      <c r="C8" s="37" t="s">
        <v>27</v>
      </c>
      <c r="D8" t="s">
        <v>28</v>
      </c>
      <c r="E8" s="40" t="s">
        <v>29</v>
      </c>
      <c r="F8" s="91" t="s">
        <v>19</v>
      </c>
      <c r="G8" s="90" t="s">
        <v>19</v>
      </c>
      <c r="H8" s="113">
        <v>223277834</v>
      </c>
      <c r="I8" s="185"/>
      <c r="J8" s="116">
        <v>253500</v>
      </c>
      <c r="K8" s="117">
        <f>J8*1.15</f>
        <v>291525</v>
      </c>
      <c r="L8" s="200"/>
      <c r="M8" s="115" t="s">
        <v>26</v>
      </c>
    </row>
    <row r="9" spans="1:15" ht="29">
      <c r="A9">
        <v>3</v>
      </c>
      <c r="B9" s="37" t="s">
        <v>30</v>
      </c>
      <c r="C9" s="37" t="s">
        <v>31</v>
      </c>
      <c r="D9" s="37" t="s">
        <v>28</v>
      </c>
      <c r="E9" s="38" t="s">
        <v>32</v>
      </c>
      <c r="F9" s="91" t="s">
        <v>23</v>
      </c>
      <c r="G9" s="90" t="s">
        <v>19</v>
      </c>
      <c r="H9" s="114"/>
      <c r="I9" s="186" t="s">
        <v>33</v>
      </c>
      <c r="J9" s="117"/>
      <c r="K9" s="117">
        <f t="shared" ref="K9:K19" si="0">J9*1.15</f>
        <v>0</v>
      </c>
      <c r="L9" s="201" t="s">
        <v>34</v>
      </c>
      <c r="M9" s="47" t="s">
        <v>35</v>
      </c>
      <c r="N9" s="61"/>
    </row>
    <row r="10" spans="1:15" ht="29">
      <c r="B10" s="41" t="s">
        <v>36</v>
      </c>
      <c r="C10" s="41" t="s">
        <v>37</v>
      </c>
      <c r="D10" s="41" t="s">
        <v>38</v>
      </c>
      <c r="E10" s="62" t="s">
        <v>39</v>
      </c>
      <c r="F10" s="104" t="s">
        <v>40</v>
      </c>
      <c r="G10" s="101" t="s">
        <v>41</v>
      </c>
      <c r="H10" s="253">
        <v>2102389557</v>
      </c>
      <c r="I10" s="254"/>
      <c r="J10" s="255">
        <v>24859.83</v>
      </c>
      <c r="K10" s="255">
        <f t="shared" si="0"/>
        <v>28588.804499999998</v>
      </c>
      <c r="L10" s="201"/>
      <c r="M10" s="47"/>
      <c r="N10" s="61"/>
    </row>
    <row r="11" spans="1:15" ht="29">
      <c r="B11" s="83" t="s">
        <v>36</v>
      </c>
      <c r="C11" s="90" t="s">
        <v>42</v>
      </c>
      <c r="D11" s="90" t="s">
        <v>43</v>
      </c>
      <c r="E11" s="43" t="s">
        <v>44</v>
      </c>
      <c r="F11" s="94" t="s">
        <v>40</v>
      </c>
      <c r="G11" s="90" t="s">
        <v>41</v>
      </c>
      <c r="H11" s="98">
        <v>211468733</v>
      </c>
      <c r="I11" s="250"/>
      <c r="J11" s="117"/>
      <c r="K11" s="117">
        <f t="shared" si="0"/>
        <v>0</v>
      </c>
      <c r="L11" s="201"/>
      <c r="M11" s="47"/>
      <c r="N11" s="61"/>
    </row>
    <row r="12" spans="1:15">
      <c r="B12" s="83"/>
      <c r="C12" s="90"/>
      <c r="D12" s="90"/>
      <c r="E12" s="43"/>
      <c r="F12" s="94"/>
      <c r="G12" s="90"/>
      <c r="H12" s="98"/>
      <c r="I12" s="250"/>
      <c r="J12" s="117"/>
      <c r="K12" s="117"/>
      <c r="L12" s="201"/>
      <c r="M12" s="47"/>
      <c r="N12" s="61"/>
    </row>
    <row r="13" spans="1:15">
      <c r="B13" s="83" t="s">
        <v>45</v>
      </c>
      <c r="C13" s="90" t="s">
        <v>46</v>
      </c>
      <c r="D13" s="90" t="s">
        <v>47</v>
      </c>
      <c r="E13" s="43"/>
      <c r="F13" s="94"/>
      <c r="G13" s="90"/>
      <c r="H13" s="98"/>
      <c r="I13" s="250"/>
      <c r="J13" s="117">
        <v>65450</v>
      </c>
      <c r="K13" s="117">
        <f t="shared" si="0"/>
        <v>75267.5</v>
      </c>
      <c r="L13" s="201"/>
      <c r="M13" s="47"/>
      <c r="N13" s="61"/>
    </row>
    <row r="14" spans="1:15" ht="43.5">
      <c r="A14">
        <v>4</v>
      </c>
      <c r="B14" s="83" t="s">
        <v>48</v>
      </c>
      <c r="C14" s="83" t="s">
        <v>49</v>
      </c>
      <c r="D14" s="83" t="s">
        <v>50</v>
      </c>
      <c r="E14" s="43" t="s">
        <v>51</v>
      </c>
      <c r="F14" s="94" t="s">
        <v>23</v>
      </c>
      <c r="G14" s="90" t="s">
        <v>52</v>
      </c>
      <c r="H14" s="90" t="s">
        <v>53</v>
      </c>
      <c r="I14" s="251"/>
      <c r="J14" s="116">
        <v>149875</v>
      </c>
      <c r="K14" s="117">
        <f t="shared" si="0"/>
        <v>172356.25</v>
      </c>
      <c r="L14" s="202"/>
      <c r="M14" s="47"/>
      <c r="N14" s="61"/>
    </row>
    <row r="15" spans="1:15" ht="35.25" customHeight="1">
      <c r="A15">
        <v>5</v>
      </c>
      <c r="B15" s="83" t="s">
        <v>54</v>
      </c>
      <c r="C15" s="83" t="s">
        <v>55</v>
      </c>
      <c r="D15" s="252" t="s">
        <v>56</v>
      </c>
      <c r="E15" s="43" t="s">
        <v>57</v>
      </c>
      <c r="F15" s="94" t="s">
        <v>18</v>
      </c>
      <c r="G15" s="90"/>
      <c r="H15" s="252" t="s">
        <v>58</v>
      </c>
      <c r="I15" s="251"/>
      <c r="J15" s="181" t="s">
        <v>59</v>
      </c>
      <c r="K15" s="181" t="s">
        <v>59</v>
      </c>
      <c r="L15" s="203" t="s">
        <v>60</v>
      </c>
      <c r="M15" s="47"/>
      <c r="N15" s="218" t="s">
        <v>61</v>
      </c>
      <c r="O15" s="119">
        <f>265*300</f>
        <v>79500</v>
      </c>
    </row>
    <row r="16" spans="1:15" ht="90" customHeight="1">
      <c r="A16">
        <v>6</v>
      </c>
      <c r="B16" s="256" t="s">
        <v>62</v>
      </c>
      <c r="C16" s="256" t="s">
        <v>63</v>
      </c>
      <c r="D16" s="256" t="s">
        <v>64</v>
      </c>
      <c r="E16" s="225" t="s">
        <v>65</v>
      </c>
      <c r="F16" s="156" t="s">
        <v>23</v>
      </c>
      <c r="G16" s="257"/>
      <c r="H16" s="258" t="s">
        <v>66</v>
      </c>
      <c r="I16" s="134">
        <v>19875</v>
      </c>
      <c r="J16" s="217">
        <v>24620</v>
      </c>
      <c r="K16" s="259">
        <f t="shared" si="0"/>
        <v>28312.999999999996</v>
      </c>
      <c r="L16" s="136" t="s">
        <v>67</v>
      </c>
      <c r="M16" s="36"/>
    </row>
    <row r="17" spans="1:14" ht="109.5" customHeight="1">
      <c r="A17">
        <v>7</v>
      </c>
      <c r="B17" s="83" t="s">
        <v>68</v>
      </c>
      <c r="C17" s="83" t="s">
        <v>69</v>
      </c>
      <c r="D17" s="83" t="s">
        <v>70</v>
      </c>
      <c r="E17" s="43" t="s">
        <v>71</v>
      </c>
      <c r="F17" s="43" t="s">
        <v>23</v>
      </c>
      <c r="G17" s="90" t="s">
        <v>41</v>
      </c>
      <c r="H17" s="90" t="s">
        <v>72</v>
      </c>
      <c r="I17" s="135" t="s">
        <v>73</v>
      </c>
      <c r="J17" s="116">
        <f>21054+26712</f>
        <v>47766</v>
      </c>
      <c r="K17" s="117">
        <f t="shared" si="0"/>
        <v>54930.899999999994</v>
      </c>
      <c r="L17" s="137" t="s">
        <v>74</v>
      </c>
      <c r="M17" s="47"/>
    </row>
    <row r="18" spans="1:14" ht="38.25" customHeight="1">
      <c r="A18">
        <v>8</v>
      </c>
      <c r="B18" s="83" t="s">
        <v>75</v>
      </c>
      <c r="C18" s="83" t="s">
        <v>76</v>
      </c>
      <c r="D18" s="83" t="s">
        <v>77</v>
      </c>
      <c r="E18" s="43" t="s">
        <v>78</v>
      </c>
      <c r="F18" s="94"/>
      <c r="G18" s="95"/>
      <c r="H18" s="96"/>
      <c r="I18" s="188"/>
      <c r="J18" s="118"/>
      <c r="K18" s="117">
        <f t="shared" si="0"/>
        <v>0</v>
      </c>
      <c r="L18" s="204" t="s">
        <v>79</v>
      </c>
      <c r="M18" s="44"/>
      <c r="N18" s="52" t="s">
        <v>80</v>
      </c>
    </row>
    <row r="19" spans="1:14" s="13" customFormat="1" ht="30.65" customHeight="1">
      <c r="A19">
        <v>11</v>
      </c>
      <c r="B19" s="97" t="s">
        <v>81</v>
      </c>
      <c r="C19" s="97" t="s">
        <v>82</v>
      </c>
      <c r="D19" s="97" t="s">
        <v>83</v>
      </c>
      <c r="E19" s="43" t="s">
        <v>84</v>
      </c>
      <c r="F19" s="43" t="s">
        <v>23</v>
      </c>
      <c r="G19" s="133" t="s">
        <v>19</v>
      </c>
      <c r="H19" s="99"/>
      <c r="I19" s="188">
        <v>74337.56</v>
      </c>
      <c r="J19" s="116">
        <v>77800.55</v>
      </c>
      <c r="K19" s="117">
        <f t="shared" si="0"/>
        <v>89470.632499999992</v>
      </c>
      <c r="L19" s="205"/>
      <c r="M19" s="48"/>
      <c r="N19" s="53" t="s">
        <v>85</v>
      </c>
    </row>
    <row r="20" spans="1:14" s="106" customFormat="1" ht="96" customHeight="1">
      <c r="A20" s="106">
        <v>12</v>
      </c>
      <c r="B20" s="109" t="s">
        <v>86</v>
      </c>
      <c r="C20" s="110" t="s">
        <v>87</v>
      </c>
      <c r="D20" s="111" t="s">
        <v>88</v>
      </c>
      <c r="E20" s="112" t="s">
        <v>89</v>
      </c>
      <c r="F20" s="43" t="s">
        <v>23</v>
      </c>
      <c r="G20" s="90" t="s">
        <v>19</v>
      </c>
      <c r="H20" s="105" t="s">
        <v>90</v>
      </c>
      <c r="I20" s="189"/>
      <c r="J20" s="182" t="s">
        <v>91</v>
      </c>
      <c r="K20" s="183" t="s">
        <v>91</v>
      </c>
      <c r="L20" s="206" t="s">
        <v>92</v>
      </c>
      <c r="M20" s="107">
        <f>15271+1000*4.5*15</f>
        <v>82771</v>
      </c>
      <c r="N20" s="108"/>
    </row>
    <row r="21" spans="1:14" ht="58">
      <c r="A21">
        <v>14</v>
      </c>
      <c r="B21" s="97" t="s">
        <v>86</v>
      </c>
      <c r="C21" s="97" t="s">
        <v>93</v>
      </c>
      <c r="D21" s="97" t="s">
        <v>94</v>
      </c>
      <c r="E21" s="43"/>
      <c r="F21" s="43" t="s">
        <v>23</v>
      </c>
      <c r="G21" s="133" t="s">
        <v>19</v>
      </c>
      <c r="H21" s="98"/>
      <c r="I21" s="187"/>
      <c r="J21" s="182" t="s">
        <v>95</v>
      </c>
      <c r="K21" s="117"/>
      <c r="L21" s="207"/>
      <c r="M21" s="45">
        <f>16000+2800+1150*4.5*15</f>
        <v>96425</v>
      </c>
    </row>
    <row r="22" spans="1:14" ht="68.25" customHeight="1">
      <c r="A22">
        <v>17</v>
      </c>
      <c r="B22" s="37" t="s">
        <v>96</v>
      </c>
      <c r="C22" s="37" t="s">
        <v>97</v>
      </c>
      <c r="D22" s="37" t="s">
        <v>98</v>
      </c>
      <c r="E22" s="88" t="s">
        <v>99</v>
      </c>
      <c r="F22" s="94" t="s">
        <v>18</v>
      </c>
      <c r="G22" s="133" t="s">
        <v>19</v>
      </c>
      <c r="H22" s="96">
        <v>275317891</v>
      </c>
      <c r="I22" s="187"/>
      <c r="J22" s="117"/>
      <c r="K22" s="117"/>
      <c r="L22" s="208" t="s">
        <v>100</v>
      </c>
      <c r="M22" s="47"/>
    </row>
    <row r="23" spans="1:14">
      <c r="A23">
        <v>18</v>
      </c>
      <c r="B23" s="37" t="s">
        <v>96</v>
      </c>
      <c r="C23" s="37" t="s">
        <v>101</v>
      </c>
      <c r="D23" s="37" t="s">
        <v>102</v>
      </c>
      <c r="E23" s="88" t="s">
        <v>103</v>
      </c>
      <c r="F23" s="94" t="s">
        <v>18</v>
      </c>
      <c r="G23" s="133" t="s">
        <v>19</v>
      </c>
      <c r="H23" s="96"/>
      <c r="I23" s="187"/>
      <c r="J23" s="117">
        <v>118684.07</v>
      </c>
      <c r="K23" s="117">
        <f t="shared" ref="K23" si="1">J23*1.15</f>
        <v>136486.68049999999</v>
      </c>
      <c r="L23" s="207"/>
      <c r="M23" s="47"/>
    </row>
    <row r="24" spans="1:14">
      <c r="A24">
        <v>19</v>
      </c>
      <c r="B24" s="35"/>
      <c r="C24" s="35"/>
      <c r="D24" s="35"/>
      <c r="E24" s="121"/>
      <c r="F24" s="96"/>
      <c r="G24" s="96"/>
      <c r="H24" s="96"/>
      <c r="I24" s="187"/>
      <c r="J24" s="117"/>
      <c r="K24" s="117"/>
      <c r="L24" s="207"/>
      <c r="M24" s="47"/>
    </row>
    <row r="25" spans="1:14" ht="29">
      <c r="A25">
        <v>20</v>
      </c>
      <c r="B25" s="37" t="s">
        <v>104</v>
      </c>
      <c r="C25" s="37" t="s">
        <v>105</v>
      </c>
      <c r="D25" s="39" t="s">
        <v>106</v>
      </c>
      <c r="E25" s="46" t="s">
        <v>107</v>
      </c>
      <c r="F25" s="94" t="s">
        <v>18</v>
      </c>
      <c r="G25" s="133" t="s">
        <v>19</v>
      </c>
      <c r="H25" s="83"/>
      <c r="I25" s="190">
        <v>8800</v>
      </c>
      <c r="J25" s="116"/>
      <c r="K25" s="116"/>
      <c r="L25" s="209"/>
      <c r="M25" s="47" t="s">
        <v>108</v>
      </c>
      <c r="N25" s="64"/>
    </row>
    <row r="26" spans="1:14">
      <c r="A26">
        <v>20</v>
      </c>
      <c r="B26" s="37" t="s">
        <v>104</v>
      </c>
      <c r="C26" t="s">
        <v>109</v>
      </c>
      <c r="D26" s="39" t="s">
        <v>110</v>
      </c>
      <c r="E26" s="88" t="s">
        <v>111</v>
      </c>
      <c r="F26" s="94" t="s">
        <v>112</v>
      </c>
      <c r="G26" s="133" t="s">
        <v>19</v>
      </c>
      <c r="H26" s="83" t="s">
        <v>113</v>
      </c>
      <c r="I26" s="190"/>
      <c r="J26" s="116">
        <v>26000</v>
      </c>
      <c r="K26" s="116">
        <f>J26*1.15</f>
        <v>29899.999999999996</v>
      </c>
      <c r="L26" s="210"/>
      <c r="M26" s="47" t="s">
        <v>108</v>
      </c>
      <c r="N26" s="122"/>
    </row>
    <row r="27" spans="1:14" s="13" customFormat="1" ht="52.5" customHeight="1">
      <c r="A27">
        <v>21</v>
      </c>
      <c r="B27" s="37" t="s">
        <v>114</v>
      </c>
      <c r="C27" s="37" t="s">
        <v>115</v>
      </c>
      <c r="D27" s="39" t="s">
        <v>116</v>
      </c>
      <c r="E27" s="88" t="s">
        <v>117</v>
      </c>
      <c r="F27" s="94" t="s">
        <v>18</v>
      </c>
      <c r="G27" s="152"/>
      <c r="H27" s="153">
        <v>21745492</v>
      </c>
      <c r="I27" s="191">
        <v>75634</v>
      </c>
      <c r="J27" s="116">
        <v>56912</v>
      </c>
      <c r="K27" s="116">
        <f>J27*1.15</f>
        <v>65448.799999999996</v>
      </c>
      <c r="L27" s="150" t="s">
        <v>118</v>
      </c>
      <c r="M27" s="47"/>
      <c r="N27" s="53" t="s">
        <v>119</v>
      </c>
    </row>
    <row r="28" spans="1:14" s="13" customFormat="1" ht="68.25" customHeight="1">
      <c r="A28">
        <v>22</v>
      </c>
      <c r="B28" s="41" t="s">
        <v>120</v>
      </c>
      <c r="C28" s="37" t="s">
        <v>115</v>
      </c>
      <c r="D28" s="39" t="s">
        <v>116</v>
      </c>
      <c r="E28" s="88" t="s">
        <v>117</v>
      </c>
      <c r="F28" s="94" t="s">
        <v>18</v>
      </c>
      <c r="G28" s="152"/>
      <c r="H28" s="153">
        <v>21745492</v>
      </c>
      <c r="I28" s="192"/>
      <c r="J28" s="145">
        <v>19747</v>
      </c>
      <c r="K28" s="116">
        <f t="shared" ref="K28:K83" si="2">J28*1.15</f>
        <v>22709.05</v>
      </c>
      <c r="L28" s="150"/>
      <c r="M28" s="47"/>
      <c r="N28" s="54" t="s">
        <v>119</v>
      </c>
    </row>
    <row r="29" spans="1:14" s="13" customFormat="1" ht="36.5">
      <c r="A29">
        <v>22</v>
      </c>
      <c r="B29" s="41" t="s">
        <v>120</v>
      </c>
      <c r="C29" s="41" t="s">
        <v>121</v>
      </c>
      <c r="D29" s="41" t="s">
        <v>122</v>
      </c>
      <c r="E29" s="100" t="s">
        <v>123</v>
      </c>
      <c r="F29" s="149" t="s">
        <v>18</v>
      </c>
      <c r="G29" s="90" t="s">
        <v>41</v>
      </c>
      <c r="H29" s="120" t="s">
        <v>124</v>
      </c>
      <c r="I29" s="192" t="s">
        <v>125</v>
      </c>
      <c r="J29" s="145"/>
      <c r="K29" s="116">
        <f t="shared" si="2"/>
        <v>0</v>
      </c>
      <c r="L29" s="150" t="s">
        <v>126</v>
      </c>
      <c r="M29" s="47"/>
      <c r="N29" s="54" t="s">
        <v>119</v>
      </c>
    </row>
    <row r="30" spans="1:14" s="13" customFormat="1" ht="16">
      <c r="A30">
        <v>28</v>
      </c>
      <c r="B30" s="37" t="s">
        <v>127</v>
      </c>
      <c r="C30" s="39" t="s">
        <v>128</v>
      </c>
      <c r="D30" s="39" t="s">
        <v>129</v>
      </c>
      <c r="E30" s="39" t="s">
        <v>130</v>
      </c>
      <c r="F30" s="149" t="s">
        <v>18</v>
      </c>
      <c r="G30" s="51"/>
      <c r="H30" s="146"/>
      <c r="I30" s="193"/>
      <c r="J30" s="145">
        <v>70566</v>
      </c>
      <c r="K30" s="116">
        <f t="shared" ref="K30" si="3">J30*1.15</f>
        <v>81150.899999999994</v>
      </c>
      <c r="L30" s="8"/>
      <c r="M30" s="8"/>
      <c r="N30" s="53"/>
    </row>
    <row r="31" spans="1:14" s="13" customFormat="1" ht="16">
      <c r="A31">
        <v>28</v>
      </c>
      <c r="B31" s="37" t="s">
        <v>127</v>
      </c>
      <c r="C31" s="39" t="s">
        <v>131</v>
      </c>
      <c r="D31" s="39" t="s">
        <v>132</v>
      </c>
      <c r="E31" s="39" t="s">
        <v>130</v>
      </c>
      <c r="F31" s="149" t="s">
        <v>18</v>
      </c>
      <c r="G31" s="51"/>
      <c r="H31" s="146"/>
      <c r="I31" s="193">
        <v>47190</v>
      </c>
      <c r="J31" s="145"/>
      <c r="K31" s="116">
        <f t="shared" si="2"/>
        <v>0</v>
      </c>
      <c r="L31" s="8"/>
      <c r="M31" s="8"/>
      <c r="N31" s="53"/>
    </row>
    <row r="32" spans="1:14" s="13" customFormat="1" ht="38.25" customHeight="1">
      <c r="A32">
        <v>31</v>
      </c>
      <c r="B32" s="37" t="s">
        <v>133</v>
      </c>
      <c r="C32" s="37" t="s">
        <v>134</v>
      </c>
      <c r="D32" s="37" t="s">
        <v>135</v>
      </c>
      <c r="E32" s="46" t="s">
        <v>136</v>
      </c>
      <c r="F32" s="149" t="s">
        <v>18</v>
      </c>
      <c r="G32" s="90" t="s">
        <v>41</v>
      </c>
      <c r="H32" s="57">
        <v>212535717</v>
      </c>
      <c r="I32" s="186">
        <v>23600</v>
      </c>
      <c r="J32" s="145">
        <v>36700</v>
      </c>
      <c r="K32" s="116">
        <f t="shared" si="2"/>
        <v>42205</v>
      </c>
      <c r="L32" s="151"/>
      <c r="M32" s="58"/>
      <c r="N32" s="54" t="s">
        <v>119</v>
      </c>
    </row>
    <row r="33" spans="1:19" s="13" customFormat="1" ht="88.5" customHeight="1">
      <c r="A33">
        <v>34</v>
      </c>
      <c r="B33" s="37" t="s">
        <v>137</v>
      </c>
      <c r="C33" s="39" t="s">
        <v>138</v>
      </c>
      <c r="D33" s="65" t="s">
        <v>139</v>
      </c>
      <c r="E33" s="37" t="s">
        <v>140</v>
      </c>
      <c r="F33" s="149" t="s">
        <v>18</v>
      </c>
      <c r="G33" s="147"/>
      <c r="H33" s="148" t="s">
        <v>141</v>
      </c>
      <c r="I33" s="194" t="s">
        <v>142</v>
      </c>
      <c r="J33" s="145">
        <v>58778</v>
      </c>
      <c r="K33" s="116">
        <f t="shared" si="2"/>
        <v>67594.7</v>
      </c>
      <c r="L33" s="59" t="s">
        <v>143</v>
      </c>
      <c r="M33" s="33" t="s">
        <v>144</v>
      </c>
      <c r="N33" s="269"/>
      <c r="O33" s="270"/>
      <c r="P33" s="270"/>
      <c r="Q33" s="270"/>
      <c r="R33" s="270"/>
      <c r="S33" s="270"/>
    </row>
    <row r="34" spans="1:19" s="13" customFormat="1">
      <c r="A34">
        <v>35</v>
      </c>
      <c r="B34" s="37" t="s">
        <v>137</v>
      </c>
      <c r="C34" s="37" t="s">
        <v>145</v>
      </c>
      <c r="D34" s="37" t="s">
        <v>146</v>
      </c>
      <c r="E34" s="38" t="s">
        <v>147</v>
      </c>
      <c r="F34" s="38" t="s">
        <v>23</v>
      </c>
      <c r="G34" s="103"/>
      <c r="H34" s="63"/>
      <c r="I34" s="195"/>
      <c r="J34" s="145"/>
      <c r="K34" s="116">
        <f t="shared" si="2"/>
        <v>0</v>
      </c>
      <c r="L34" s="211"/>
      <c r="M34" s="33"/>
      <c r="N34" s="53"/>
    </row>
    <row r="35" spans="1:19" s="13" customFormat="1">
      <c r="A35">
        <v>35</v>
      </c>
      <c r="B35" s="37" t="s">
        <v>137</v>
      </c>
      <c r="C35" s="37" t="s">
        <v>148</v>
      </c>
      <c r="D35" s="37" t="s">
        <v>149</v>
      </c>
      <c r="E35" s="38" t="s">
        <v>150</v>
      </c>
      <c r="F35" s="94" t="s">
        <v>40</v>
      </c>
      <c r="G35" s="38"/>
      <c r="H35" s="57" t="s">
        <v>151</v>
      </c>
      <c r="I35" s="196"/>
      <c r="J35" s="145">
        <v>82000</v>
      </c>
      <c r="K35" s="116">
        <f t="shared" si="2"/>
        <v>94299.999999999985</v>
      </c>
      <c r="L35" t="s">
        <v>152</v>
      </c>
      <c r="M35" s="33"/>
      <c r="N35" s="53"/>
    </row>
    <row r="36" spans="1:19" s="13" customFormat="1" ht="16.149999999999999" customHeight="1">
      <c r="A36">
        <v>40</v>
      </c>
      <c r="B36" s="37" t="s">
        <v>153</v>
      </c>
      <c r="C36" s="37" t="s">
        <v>154</v>
      </c>
      <c r="D36" s="37" t="s">
        <v>155</v>
      </c>
      <c r="E36" s="38" t="s">
        <v>156</v>
      </c>
      <c r="F36" s="94" t="s">
        <v>40</v>
      </c>
      <c r="G36" s="38"/>
      <c r="H36" s="32"/>
      <c r="I36" s="196"/>
      <c r="J36" s="145"/>
      <c r="K36" s="116">
        <f t="shared" si="2"/>
        <v>0</v>
      </c>
      <c r="L36" s="48"/>
      <c r="M36" s="33"/>
      <c r="N36" s="53"/>
    </row>
    <row r="37" spans="1:19" s="13" customFormat="1" ht="16.149999999999999" customHeight="1">
      <c r="A37">
        <v>41</v>
      </c>
      <c r="B37" s="124" t="s">
        <v>157</v>
      </c>
      <c r="C37" s="124" t="s">
        <v>158</v>
      </c>
      <c r="D37" s="124" t="s">
        <v>145</v>
      </c>
      <c r="E37" s="155"/>
      <c r="F37" s="155"/>
      <c r="G37" s="155"/>
      <c r="H37" s="155"/>
      <c r="I37" s="197"/>
      <c r="J37" s="145">
        <v>122611</v>
      </c>
      <c r="K37" s="116">
        <f t="shared" si="2"/>
        <v>141002.65</v>
      </c>
      <c r="L37" s="212"/>
      <c r="M37" s="33"/>
      <c r="N37" s="53"/>
    </row>
    <row r="38" spans="1:19" s="13" customFormat="1" ht="92.25" customHeight="1">
      <c r="A38">
        <v>42</v>
      </c>
      <c r="B38" s="83" t="s">
        <v>157</v>
      </c>
      <c r="C38" s="83" t="s">
        <v>159</v>
      </c>
      <c r="D38" s="154" t="s">
        <v>160</v>
      </c>
      <c r="E38" s="43" t="s">
        <v>161</v>
      </c>
      <c r="F38" s="43" t="s">
        <v>23</v>
      </c>
      <c r="G38" s="43"/>
      <c r="H38" s="99"/>
      <c r="I38" s="190">
        <v>119721.28</v>
      </c>
      <c r="J38" s="145">
        <v>134449</v>
      </c>
      <c r="K38" s="116">
        <f t="shared" si="2"/>
        <v>154616.34999999998</v>
      </c>
      <c r="L38" s="213"/>
      <c r="M38" s="48">
        <v>45812</v>
      </c>
      <c r="N38" s="55"/>
    </row>
    <row r="39" spans="1:19" s="13" customFormat="1" ht="26.5">
      <c r="A39">
        <v>37</v>
      </c>
      <c r="B39" s="83" t="s">
        <v>162</v>
      </c>
      <c r="C39" s="83" t="s">
        <v>163</v>
      </c>
      <c r="D39" s="83" t="s">
        <v>164</v>
      </c>
      <c r="E39" s="43" t="s">
        <v>165</v>
      </c>
      <c r="F39" s="43" t="s">
        <v>23</v>
      </c>
      <c r="G39" s="147"/>
      <c r="H39" s="57"/>
      <c r="I39" s="198">
        <v>145166</v>
      </c>
      <c r="J39" s="145">
        <v>92264.69</v>
      </c>
      <c r="K39" s="116">
        <f>J39*1.15</f>
        <v>106104.39349999999</v>
      </c>
      <c r="L39" s="227" t="s">
        <v>166</v>
      </c>
      <c r="M39" s="48">
        <v>45750</v>
      </c>
      <c r="N39" s="53"/>
    </row>
    <row r="40" spans="1:19" s="13" customFormat="1">
      <c r="A40"/>
      <c r="B40" s="83" t="s">
        <v>162</v>
      </c>
      <c r="C40" s="83" t="s">
        <v>167</v>
      </c>
      <c r="D40" s="167" t="s">
        <v>168</v>
      </c>
      <c r="E40" s="83"/>
      <c r="F40" s="43" t="s">
        <v>112</v>
      </c>
      <c r="G40" s="147"/>
      <c r="H40" s="57"/>
      <c r="I40" s="198"/>
      <c r="J40" s="145"/>
      <c r="K40" s="116">
        <f t="shared" si="2"/>
        <v>0</v>
      </c>
      <c r="L40" s="227" t="s">
        <v>169</v>
      </c>
      <c r="M40" s="48"/>
      <c r="N40" s="53"/>
    </row>
    <row r="41" spans="1:19" s="13" customFormat="1">
      <c r="A41"/>
      <c r="B41" s="83" t="s">
        <v>170</v>
      </c>
      <c r="C41" s="83" t="s">
        <v>171</v>
      </c>
      <c r="D41" s="167" t="s">
        <v>172</v>
      </c>
      <c r="E41" s="168" t="s">
        <v>173</v>
      </c>
      <c r="F41" s="168"/>
      <c r="G41" s="240"/>
      <c r="H41" s="57">
        <v>212037365</v>
      </c>
      <c r="I41" s="198"/>
      <c r="J41" s="145"/>
      <c r="K41" s="116"/>
      <c r="L41" s="227"/>
      <c r="M41" s="48"/>
      <c r="N41" s="53"/>
    </row>
    <row r="42" spans="1:19" s="13" customFormat="1" ht="37.5" customHeight="1">
      <c r="A42">
        <v>43</v>
      </c>
      <c r="B42" s="83" t="s">
        <v>174</v>
      </c>
      <c r="C42" s="167" t="s">
        <v>175</v>
      </c>
      <c r="D42" s="167" t="s">
        <v>176</v>
      </c>
      <c r="E42" s="168" t="s">
        <v>177</v>
      </c>
      <c r="F42" s="168" t="s">
        <v>112</v>
      </c>
      <c r="G42" s="169" t="s">
        <v>19</v>
      </c>
      <c r="H42" s="99"/>
      <c r="I42" s="194"/>
      <c r="J42" s="145"/>
      <c r="K42" s="116">
        <f t="shared" si="2"/>
        <v>0</v>
      </c>
      <c r="L42" s="214"/>
      <c r="M42" s="127"/>
      <c r="N42" s="56"/>
    </row>
    <row r="43" spans="1:19" s="13" customFormat="1" ht="79.5" customHeight="1">
      <c r="A43">
        <v>44</v>
      </c>
      <c r="B43" s="162" t="s">
        <v>178</v>
      </c>
      <c r="C43" s="83" t="s">
        <v>179</v>
      </c>
      <c r="D43" s="83" t="s">
        <v>180</v>
      </c>
      <c r="E43" s="43" t="s">
        <v>181</v>
      </c>
      <c r="F43" s="43" t="s">
        <v>23</v>
      </c>
      <c r="G43" s="133" t="s">
        <v>19</v>
      </c>
      <c r="H43" s="164"/>
      <c r="I43" s="199" t="s">
        <v>182</v>
      </c>
      <c r="J43" s="145">
        <f>44000+30400+30000</f>
        <v>104400</v>
      </c>
      <c r="K43" s="116">
        <f t="shared" si="2"/>
        <v>120059.99999999999</v>
      </c>
      <c r="L43" s="215" t="s">
        <v>183</v>
      </c>
      <c r="M43" s="128">
        <v>45755</v>
      </c>
      <c r="N43" s="66"/>
    </row>
    <row r="44" spans="1:19" s="13" customFormat="1" ht="96" customHeight="1">
      <c r="A44">
        <v>45</v>
      </c>
      <c r="B44" s="163" t="s">
        <v>184</v>
      </c>
      <c r="C44" s="260" t="s">
        <v>185</v>
      </c>
      <c r="D44" s="67" t="s">
        <v>186</v>
      </c>
      <c r="E44" s="43" t="s">
        <v>187</v>
      </c>
      <c r="F44" s="43" t="s">
        <v>23</v>
      </c>
      <c r="G44" s="133" t="s">
        <v>19</v>
      </c>
      <c r="H44" s="165"/>
      <c r="I44" s="125">
        <v>298813.02</v>
      </c>
      <c r="J44" s="180">
        <f>179132+36101</f>
        <v>215233</v>
      </c>
      <c r="K44" s="217">
        <f t="shared" si="2"/>
        <v>247517.94999999998</v>
      </c>
      <c r="L44" s="175" t="s">
        <v>188</v>
      </c>
      <c r="M44" s="128" t="s">
        <v>189</v>
      </c>
      <c r="N44" s="66"/>
    </row>
    <row r="45" spans="1:19" s="178" customFormat="1" ht="122.25" customHeight="1">
      <c r="A45" s="106"/>
      <c r="B45" s="172" t="s">
        <v>190</v>
      </c>
      <c r="C45" s="261" t="s">
        <v>185</v>
      </c>
      <c r="D45" s="179" t="s">
        <v>186</v>
      </c>
      <c r="E45" s="112" t="s">
        <v>187</v>
      </c>
      <c r="F45" s="112" t="s">
        <v>23</v>
      </c>
      <c r="G45" s="133" t="s">
        <v>19</v>
      </c>
      <c r="H45" s="106"/>
      <c r="I45" s="173"/>
      <c r="J45" s="174">
        <f>29897+33061</f>
        <v>62958</v>
      </c>
      <c r="K45" s="116">
        <f t="shared" si="2"/>
        <v>72401.7</v>
      </c>
      <c r="L45" s="175" t="s">
        <v>191</v>
      </c>
      <c r="M45" s="176"/>
      <c r="N45" s="177"/>
    </row>
    <row r="46" spans="1:19" s="178" customFormat="1" ht="122.25" customHeight="1">
      <c r="A46" s="106"/>
      <c r="B46" s="172" t="s">
        <v>190</v>
      </c>
      <c r="C46" s="112" t="s">
        <v>192</v>
      </c>
      <c r="D46" s="112" t="s">
        <v>193</v>
      </c>
      <c r="E46" s="112" t="s">
        <v>194</v>
      </c>
      <c r="F46" s="112" t="s">
        <v>112</v>
      </c>
      <c r="G46" s="133" t="s">
        <v>19</v>
      </c>
      <c r="H46" s="106" t="s">
        <v>195</v>
      </c>
      <c r="I46" s="173"/>
      <c r="J46" s="174"/>
      <c r="K46" s="116">
        <f t="shared" si="2"/>
        <v>0</v>
      </c>
      <c r="L46" s="175" t="s">
        <v>196</v>
      </c>
      <c r="M46" s="176"/>
      <c r="N46" s="177"/>
    </row>
    <row r="47" spans="1:19" s="13" customFormat="1" ht="60.75" customHeight="1">
      <c r="A47"/>
      <c r="B47" s="163" t="s">
        <v>197</v>
      </c>
      <c r="C47" s="260" t="s">
        <v>185</v>
      </c>
      <c r="D47" s="67" t="s">
        <v>186</v>
      </c>
      <c r="E47" s="43" t="s">
        <v>187</v>
      </c>
      <c r="F47" s="43" t="s">
        <v>23</v>
      </c>
      <c r="G47" s="133" t="s">
        <v>19</v>
      </c>
      <c r="H47" s="166"/>
      <c r="I47" s="132"/>
      <c r="J47" s="145">
        <f>46902+35540</f>
        <v>82442</v>
      </c>
      <c r="K47" s="116">
        <f t="shared" si="2"/>
        <v>94808.299999999988</v>
      </c>
      <c r="L47" s="57" t="s">
        <v>198</v>
      </c>
      <c r="M47" s="128"/>
      <c r="N47" s="66"/>
    </row>
    <row r="48" spans="1:19" s="13" customFormat="1" ht="60.75" customHeight="1">
      <c r="A48"/>
      <c r="B48" s="163" t="s">
        <v>197</v>
      </c>
      <c r="C48" s="83" t="s">
        <v>179</v>
      </c>
      <c r="D48" s="83" t="s">
        <v>180</v>
      </c>
      <c r="E48" s="43" t="s">
        <v>181</v>
      </c>
      <c r="F48" s="43" t="s">
        <v>23</v>
      </c>
      <c r="G48" s="133" t="s">
        <v>19</v>
      </c>
      <c r="H48" s="166"/>
      <c r="I48" s="132"/>
      <c r="J48" s="145">
        <v>79000</v>
      </c>
      <c r="K48" s="116">
        <f t="shared" si="2"/>
        <v>90850</v>
      </c>
      <c r="L48" s="126"/>
      <c r="M48" s="128"/>
      <c r="N48" s="66"/>
    </row>
    <row r="49" spans="1:14" s="13" customFormat="1" ht="60.75" customHeight="1">
      <c r="A49"/>
      <c r="B49" s="83" t="s">
        <v>199</v>
      </c>
      <c r="C49" s="262" t="s">
        <v>200</v>
      </c>
      <c r="D49" s="263" t="s">
        <v>201</v>
      </c>
      <c r="E49" s="170" t="s">
        <v>202</v>
      </c>
      <c r="F49" s="156" t="s">
        <v>18</v>
      </c>
      <c r="G49" s="171" t="s">
        <v>19</v>
      </c>
      <c r="H49" s="131"/>
      <c r="I49" s="132"/>
      <c r="J49" s="145"/>
      <c r="K49" s="116">
        <f t="shared" si="2"/>
        <v>0</v>
      </c>
      <c r="L49" s="126"/>
      <c r="M49" s="128"/>
      <c r="N49" s="123"/>
    </row>
    <row r="50" spans="1:14" s="13" customFormat="1" ht="60.75" customHeight="1">
      <c r="A50"/>
      <c r="B50" s="161" t="s">
        <v>199</v>
      </c>
      <c r="C50" s="264" t="s">
        <v>203</v>
      </c>
      <c r="D50" s="264" t="s">
        <v>204</v>
      </c>
      <c r="E50" s="168" t="s">
        <v>205</v>
      </c>
      <c r="F50" s="223" t="s">
        <v>18</v>
      </c>
      <c r="G50" s="169" t="s">
        <v>19</v>
      </c>
      <c r="H50" s="131"/>
      <c r="I50" s="132"/>
      <c r="J50" s="224">
        <v>160275</v>
      </c>
      <c r="K50" s="116">
        <f t="shared" si="2"/>
        <v>184316.25</v>
      </c>
      <c r="L50" s="130"/>
      <c r="M50" s="128"/>
      <c r="N50" s="66"/>
    </row>
    <row r="51" spans="1:14" s="13" customFormat="1" ht="60.75" customHeight="1">
      <c r="A51"/>
      <c r="B51" s="163" t="s">
        <v>206</v>
      </c>
      <c r="C51" s="260" t="s">
        <v>207</v>
      </c>
      <c r="D51" s="67" t="s">
        <v>208</v>
      </c>
      <c r="E51" s="43" t="s">
        <v>209</v>
      </c>
      <c r="F51" s="43" t="s">
        <v>210</v>
      </c>
      <c r="G51" s="158" t="s">
        <v>211</v>
      </c>
      <c r="H51" s="57">
        <v>211568734</v>
      </c>
      <c r="I51" s="125"/>
      <c r="J51" s="145"/>
      <c r="K51" s="222">
        <f t="shared" si="2"/>
        <v>0</v>
      </c>
      <c r="L51" s="129"/>
      <c r="M51" s="128"/>
      <c r="N51" s="66"/>
    </row>
    <row r="52" spans="1:14" s="13" customFormat="1">
      <c r="A52">
        <v>54</v>
      </c>
      <c r="B52" s="49" t="s">
        <v>212</v>
      </c>
      <c r="C52" s="158" t="s">
        <v>213</v>
      </c>
      <c r="D52" s="51" t="s">
        <v>214</v>
      </c>
      <c r="E52" s="43" t="s">
        <v>215</v>
      </c>
      <c r="F52" s="43"/>
      <c r="G52" s="168" t="s">
        <v>112</v>
      </c>
      <c r="H52" s="131"/>
      <c r="I52" s="237"/>
      <c r="J52" s="145"/>
      <c r="K52" s="222">
        <f t="shared" si="2"/>
        <v>0</v>
      </c>
      <c r="L52" s="33"/>
      <c r="M52" s="33"/>
      <c r="N52" s="53"/>
    </row>
    <row r="53" spans="1:14" s="13" customFormat="1" ht="35.25" customHeight="1">
      <c r="A53">
        <v>55</v>
      </c>
      <c r="B53" s="49" t="s">
        <v>216</v>
      </c>
      <c r="C53" s="51"/>
      <c r="D53" s="51" t="s">
        <v>145</v>
      </c>
      <c r="E53" s="43" t="s">
        <v>147</v>
      </c>
      <c r="F53" s="163"/>
      <c r="G53" s="83"/>
      <c r="H53" s="57"/>
      <c r="I53" s="219"/>
      <c r="J53" s="235"/>
      <c r="K53" s="229">
        <f t="shared" si="2"/>
        <v>0</v>
      </c>
      <c r="L53" s="230"/>
      <c r="M53" s="33"/>
      <c r="N53" s="53"/>
    </row>
    <row r="54" spans="1:14" s="13" customFormat="1" ht="35.25" customHeight="1">
      <c r="A54"/>
      <c r="B54" s="49" t="s">
        <v>217</v>
      </c>
      <c r="C54" s="51" t="s">
        <v>218</v>
      </c>
      <c r="D54" s="51" t="s">
        <v>219</v>
      </c>
      <c r="E54" s="43" t="s">
        <v>220</v>
      </c>
      <c r="F54" s="163"/>
      <c r="G54" s="83"/>
      <c r="H54" s="232" t="s">
        <v>221</v>
      </c>
      <c r="I54" s="219"/>
      <c r="J54" s="236">
        <v>25865</v>
      </c>
      <c r="K54" s="116">
        <f t="shared" si="2"/>
        <v>29744.749999999996</v>
      </c>
      <c r="L54" s="228"/>
      <c r="M54" s="48"/>
      <c r="N54" s="53"/>
    </row>
    <row r="55" spans="1:14" s="13" customFormat="1" ht="35.25" customHeight="1">
      <c r="A55"/>
      <c r="B55" s="49" t="s">
        <v>217</v>
      </c>
      <c r="C55" s="51" t="s">
        <v>222</v>
      </c>
      <c r="D55" s="51" t="s">
        <v>223</v>
      </c>
      <c r="E55" s="43" t="s">
        <v>224</v>
      </c>
      <c r="F55" s="163"/>
      <c r="G55" s="83"/>
      <c r="H55" s="233" t="s">
        <v>225</v>
      </c>
      <c r="I55" s="219"/>
      <c r="J55" s="236">
        <v>24876</v>
      </c>
      <c r="K55" s="116">
        <f t="shared" si="2"/>
        <v>28607.399999999998</v>
      </c>
      <c r="L55" s="228"/>
      <c r="M55" s="48"/>
      <c r="N55" s="53"/>
    </row>
    <row r="56" spans="1:14" s="13" customFormat="1" ht="35.25" customHeight="1">
      <c r="A56"/>
      <c r="B56" s="160" t="s">
        <v>226</v>
      </c>
      <c r="C56" s="51" t="s">
        <v>218</v>
      </c>
      <c r="D56" s="51" t="s">
        <v>219</v>
      </c>
      <c r="E56" s="43" t="s">
        <v>220</v>
      </c>
      <c r="F56" s="163"/>
      <c r="G56" s="83"/>
      <c r="H56" s="232" t="s">
        <v>221</v>
      </c>
      <c r="I56" s="219"/>
      <c r="J56" s="236">
        <v>12394</v>
      </c>
      <c r="K56" s="116">
        <f t="shared" si="2"/>
        <v>14253.099999999999</v>
      </c>
      <c r="L56" s="90" t="s">
        <v>227</v>
      </c>
      <c r="M56" s="48"/>
      <c r="N56" s="53"/>
    </row>
    <row r="57" spans="1:14" s="13" customFormat="1" ht="167.25" customHeight="1">
      <c r="A57">
        <v>57</v>
      </c>
      <c r="B57" s="160" t="s">
        <v>216</v>
      </c>
      <c r="C57" s="159" t="s">
        <v>228</v>
      </c>
      <c r="D57" s="159"/>
      <c r="E57" s="83"/>
      <c r="F57" s="234" t="s">
        <v>23</v>
      </c>
      <c r="G57" s="83"/>
      <c r="H57" s="57"/>
      <c r="I57" s="80">
        <v>15656</v>
      </c>
      <c r="J57" s="235">
        <v>46754</v>
      </c>
      <c r="K57" s="231">
        <f t="shared" si="2"/>
        <v>53767.1</v>
      </c>
      <c r="L57" s="265" t="s">
        <v>229</v>
      </c>
      <c r="M57" s="48"/>
      <c r="N57" s="64" t="s">
        <v>230</v>
      </c>
    </row>
    <row r="58" spans="1:14" s="241" customFormat="1" ht="48.75" customHeight="1">
      <c r="C58" s="242" t="s">
        <v>231</v>
      </c>
      <c r="D58" s="242" t="s">
        <v>232</v>
      </c>
      <c r="E58" s="242" t="s">
        <v>233</v>
      </c>
      <c r="F58" s="243" t="s">
        <v>234</v>
      </c>
      <c r="G58" s="244"/>
      <c r="H58" s="244"/>
      <c r="I58" s="245"/>
      <c r="J58" s="246"/>
      <c r="K58" s="247"/>
      <c r="L58" s="266"/>
      <c r="M58" s="248"/>
      <c r="N58" s="249"/>
    </row>
    <row r="59" spans="1:14" s="13" customFormat="1" ht="43.5">
      <c r="A59"/>
      <c r="B59" s="220" t="s">
        <v>235</v>
      </c>
      <c r="C59" s="159" t="s">
        <v>236</v>
      </c>
      <c r="D59" s="83" t="s">
        <v>237</v>
      </c>
      <c r="E59" s="43" t="s">
        <v>238</v>
      </c>
      <c r="F59" s="43" t="s">
        <v>112</v>
      </c>
      <c r="G59" s="161" t="s">
        <v>239</v>
      </c>
      <c r="H59" s="238"/>
      <c r="I59" s="239"/>
      <c r="J59" s="145">
        <v>24951</v>
      </c>
      <c r="K59" s="222">
        <f t="shared" si="2"/>
        <v>28693.649999999998</v>
      </c>
      <c r="L59" s="267"/>
      <c r="M59" s="48"/>
      <c r="N59" s="64"/>
    </row>
    <row r="60" spans="1:14" s="13" customFormat="1">
      <c r="A60">
        <v>58</v>
      </c>
      <c r="B60" s="221" t="s">
        <v>240</v>
      </c>
      <c r="C60" s="126"/>
      <c r="D60" s="126" t="s">
        <v>145</v>
      </c>
      <c r="E60" s="57"/>
      <c r="F60" s="57"/>
      <c r="G60" s="57"/>
      <c r="H60" s="57"/>
      <c r="I60" s="219"/>
      <c r="J60" s="117"/>
      <c r="K60" s="222">
        <f t="shared" si="2"/>
        <v>0</v>
      </c>
      <c r="L60" s="79"/>
      <c r="M60" s="33"/>
      <c r="N60" s="53"/>
    </row>
    <row r="61" spans="1:14" s="13" customFormat="1" ht="72.5">
      <c r="A61">
        <v>60</v>
      </c>
      <c r="B61" s="46" t="s">
        <v>241</v>
      </c>
      <c r="C61" s="83" t="s">
        <v>145</v>
      </c>
      <c r="D61" s="83" t="s">
        <v>146</v>
      </c>
      <c r="E61" s="43" t="s">
        <v>147</v>
      </c>
      <c r="F61" s="43" t="s">
        <v>23</v>
      </c>
      <c r="G61" s="43"/>
      <c r="H61" s="99"/>
      <c r="I61" s="51">
        <v>587655.81000000006</v>
      </c>
      <c r="J61" s="145"/>
      <c r="K61" s="222">
        <f t="shared" si="2"/>
        <v>0</v>
      </c>
      <c r="L61" s="85" t="s">
        <v>242</v>
      </c>
      <c r="M61" s="33"/>
      <c r="N61" s="53" t="s">
        <v>243</v>
      </c>
    </row>
    <row r="62" spans="1:14" s="13" customFormat="1" ht="70.5" customHeight="1">
      <c r="A62">
        <v>61</v>
      </c>
      <c r="B62" s="41" t="s">
        <v>241</v>
      </c>
      <c r="C62" s="102" t="s">
        <v>244</v>
      </c>
      <c r="D62" s="102" t="s">
        <v>245</v>
      </c>
      <c r="E62" s="225" t="s">
        <v>246</v>
      </c>
      <c r="F62" s="225" t="s">
        <v>23</v>
      </c>
      <c r="G62" s="225"/>
      <c r="H62" s="84"/>
      <c r="I62" s="226" t="s">
        <v>247</v>
      </c>
      <c r="J62" s="145"/>
      <c r="K62" s="116">
        <f t="shared" si="2"/>
        <v>0</v>
      </c>
      <c r="L62" s="87" t="s">
        <v>248</v>
      </c>
      <c r="M62" s="81"/>
      <c r="N62" s="60"/>
    </row>
    <row r="63" spans="1:14" s="13" customFormat="1" ht="43.5">
      <c r="A63">
        <v>62</v>
      </c>
      <c r="B63" s="51" t="s">
        <v>249</v>
      </c>
      <c r="C63" s="50"/>
      <c r="D63" s="46" t="s">
        <v>250</v>
      </c>
      <c r="E63" s="83" t="s">
        <v>251</v>
      </c>
      <c r="F63" s="83" t="s">
        <v>252</v>
      </c>
      <c r="G63" s="89"/>
      <c r="H63" s="32"/>
      <c r="I63" s="70">
        <v>4934287</v>
      </c>
      <c r="J63" s="145"/>
      <c r="K63" s="116">
        <f t="shared" si="2"/>
        <v>0</v>
      </c>
      <c r="L63" s="86" t="s">
        <v>253</v>
      </c>
      <c r="M63" s="81"/>
      <c r="N63" s="60" t="s">
        <v>254</v>
      </c>
    </row>
    <row r="64" spans="1:14" s="13" customFormat="1" ht="29">
      <c r="A64">
        <v>63</v>
      </c>
      <c r="B64" s="63" t="s">
        <v>255</v>
      </c>
      <c r="C64" s="31" t="s">
        <v>256</v>
      </c>
      <c r="D64" s="31" t="s">
        <v>257</v>
      </c>
      <c r="E64" s="84" t="s">
        <v>258</v>
      </c>
      <c r="F64" s="84"/>
      <c r="G64" s="84"/>
      <c r="H64" s="32"/>
      <c r="I64" s="71"/>
      <c r="J64" s="145"/>
      <c r="K64" s="116">
        <f t="shared" si="2"/>
        <v>0</v>
      </c>
      <c r="L64" s="82"/>
      <c r="M64" s="34"/>
      <c r="N64" s="60"/>
    </row>
    <row r="65" spans="1:14" s="13" customFormat="1">
      <c r="A65">
        <v>64</v>
      </c>
      <c r="B65" s="9"/>
      <c r="C65" s="9"/>
      <c r="E65" s="6"/>
      <c r="F65" s="6"/>
      <c r="G65" s="6"/>
      <c r="H65" s="6"/>
      <c r="I65" s="72"/>
      <c r="J65" s="145"/>
      <c r="K65" s="116">
        <f t="shared" si="2"/>
        <v>0</v>
      </c>
      <c r="L65" s="29"/>
      <c r="M65" s="29"/>
      <c r="N65" s="53"/>
    </row>
    <row r="66" spans="1:14" s="13" customFormat="1">
      <c r="A66">
        <v>65</v>
      </c>
      <c r="B66" s="139" t="s">
        <v>259</v>
      </c>
      <c r="C66" s="140" t="s">
        <v>260</v>
      </c>
      <c r="D66" s="140" t="s">
        <v>261</v>
      </c>
      <c r="E66" s="142" t="s">
        <v>262</v>
      </c>
      <c r="F66" s="6" t="s">
        <v>210</v>
      </c>
      <c r="G66" s="138" t="s">
        <v>19</v>
      </c>
      <c r="H66" s="6">
        <v>212550329</v>
      </c>
      <c r="I66" s="28"/>
      <c r="J66" s="145"/>
      <c r="K66" s="116">
        <f t="shared" si="2"/>
        <v>0</v>
      </c>
      <c r="L66" s="28"/>
      <c r="M66" s="28"/>
      <c r="N66" s="53"/>
    </row>
    <row r="67" spans="1:14" s="13" customFormat="1" ht="16">
      <c r="A67"/>
      <c r="B67" s="139" t="s">
        <v>259</v>
      </c>
      <c r="C67" s="141" t="s">
        <v>263</v>
      </c>
      <c r="D67" s="141" t="s">
        <v>264</v>
      </c>
      <c r="E67" s="142" t="s">
        <v>265</v>
      </c>
      <c r="F67" s="6" t="s">
        <v>210</v>
      </c>
      <c r="G67" s="138" t="s">
        <v>19</v>
      </c>
      <c r="H67" s="6">
        <v>79256263</v>
      </c>
      <c r="I67" s="28"/>
      <c r="J67" s="145"/>
      <c r="K67" s="116">
        <f t="shared" si="2"/>
        <v>0</v>
      </c>
      <c r="L67" s="28"/>
      <c r="M67" s="28"/>
      <c r="N67" s="53"/>
    </row>
    <row r="68" spans="1:14" s="13" customFormat="1">
      <c r="A68">
        <v>66</v>
      </c>
      <c r="B68" s="143" t="s">
        <v>266</v>
      </c>
      <c r="C68" s="144" t="s">
        <v>145</v>
      </c>
      <c r="D68" s="144"/>
      <c r="E68" s="8"/>
      <c r="F68" s="8"/>
      <c r="G68" s="8"/>
      <c r="H68" s="8"/>
      <c r="I68" s="70">
        <v>37176</v>
      </c>
      <c r="J68" s="145">
        <v>42030</v>
      </c>
      <c r="K68" s="116">
        <f t="shared" si="2"/>
        <v>48334.499999999993</v>
      </c>
      <c r="L68" s="29" t="s">
        <v>267</v>
      </c>
      <c r="M68" s="29"/>
      <c r="N68" s="53"/>
    </row>
    <row r="69" spans="1:14" s="13" customFormat="1">
      <c r="A69">
        <v>67</v>
      </c>
      <c r="B69" s="25" t="s">
        <v>268</v>
      </c>
      <c r="C69" s="25" t="s">
        <v>269</v>
      </c>
      <c r="D69" s="25"/>
      <c r="E69" s="157" t="s">
        <v>270</v>
      </c>
      <c r="F69" s="6" t="s">
        <v>210</v>
      </c>
      <c r="G69" s="6"/>
      <c r="H69" s="6"/>
      <c r="I69" s="73"/>
      <c r="J69" s="145"/>
      <c r="K69" s="116">
        <f t="shared" si="2"/>
        <v>0</v>
      </c>
      <c r="L69" s="29"/>
      <c r="M69" s="29"/>
      <c r="N69" s="53"/>
    </row>
    <row r="70" spans="1:14" s="13" customFormat="1" ht="29">
      <c r="A70">
        <v>68</v>
      </c>
      <c r="B70" s="37" t="s">
        <v>271</v>
      </c>
      <c r="C70" s="2"/>
      <c r="D70" t="s">
        <v>272</v>
      </c>
      <c r="E70" s="6" t="s">
        <v>273</v>
      </c>
      <c r="F70" s="6"/>
      <c r="G70" s="6"/>
      <c r="H70" s="6" t="s">
        <v>274</v>
      </c>
      <c r="I70" s="28"/>
      <c r="J70" s="145"/>
      <c r="K70" s="116">
        <f t="shared" si="2"/>
        <v>0</v>
      </c>
      <c r="L70" s="42"/>
      <c r="M70" s="42"/>
      <c r="N70" s="53"/>
    </row>
    <row r="71" spans="1:14" s="13" customFormat="1">
      <c r="B71" s="8"/>
      <c r="C71" s="6"/>
      <c r="D71" s="6" t="s">
        <v>304</v>
      </c>
      <c r="E71" s="42" t="s">
        <v>303</v>
      </c>
      <c r="F71" s="6"/>
      <c r="G71" s="6"/>
      <c r="H71" s="6"/>
      <c r="I71" s="74"/>
      <c r="J71" s="145"/>
      <c r="K71" s="116">
        <f t="shared" si="2"/>
        <v>0</v>
      </c>
      <c r="L71" s="6"/>
      <c r="M71" s="6"/>
      <c r="N71" s="53"/>
    </row>
    <row r="72" spans="1:14" s="13" customFormat="1">
      <c r="B72" s="6"/>
      <c r="C72" s="6"/>
      <c r="D72" s="6"/>
      <c r="E72" s="6"/>
      <c r="F72" s="6"/>
      <c r="G72" s="6"/>
      <c r="H72" s="6"/>
      <c r="I72" s="74"/>
      <c r="J72" s="145"/>
      <c r="K72" s="116">
        <f t="shared" si="2"/>
        <v>0</v>
      </c>
      <c r="L72" s="6"/>
      <c r="M72" s="6"/>
      <c r="N72" s="53"/>
    </row>
    <row r="73" spans="1:14" s="13" customFormat="1">
      <c r="B73" s="9"/>
      <c r="C73" s="9"/>
      <c r="D73" s="9"/>
      <c r="E73" s="9"/>
      <c r="F73" s="6"/>
      <c r="G73" s="6"/>
      <c r="H73" s="6"/>
      <c r="I73" s="74"/>
      <c r="J73" s="145"/>
      <c r="K73" s="116">
        <f t="shared" si="2"/>
        <v>0</v>
      </c>
      <c r="L73" s="6"/>
      <c r="M73" s="6"/>
      <c r="N73" s="53"/>
    </row>
    <row r="74" spans="1:14" s="13" customFormat="1">
      <c r="B74" s="9"/>
      <c r="C74" s="9"/>
      <c r="D74" s="9"/>
      <c r="E74" s="9"/>
      <c r="F74" s="6"/>
      <c r="G74" s="6"/>
      <c r="H74" s="6"/>
      <c r="I74" s="74"/>
      <c r="J74" s="145"/>
      <c r="K74" s="116">
        <f t="shared" si="2"/>
        <v>0</v>
      </c>
      <c r="L74" s="6"/>
      <c r="M74" s="6"/>
      <c r="N74" s="53"/>
    </row>
    <row r="75" spans="1:14" s="13" customFormat="1">
      <c r="B75" s="9"/>
      <c r="C75" s="9"/>
      <c r="D75" s="9"/>
      <c r="E75" s="9"/>
      <c r="F75" s="23"/>
      <c r="G75" s="23"/>
      <c r="H75" s="23"/>
      <c r="I75" s="75"/>
      <c r="J75" s="145"/>
      <c r="K75" s="116">
        <f t="shared" si="2"/>
        <v>0</v>
      </c>
      <c r="L75" s="16"/>
      <c r="M75" s="16"/>
      <c r="N75" s="53"/>
    </row>
    <row r="76" spans="1:14" s="13" customFormat="1">
      <c r="B76" s="9"/>
      <c r="C76" s="9"/>
      <c r="D76" s="9"/>
      <c r="E76" s="9"/>
      <c r="F76" s="23"/>
      <c r="G76" s="23"/>
      <c r="H76" s="23"/>
      <c r="I76" s="76"/>
      <c r="J76" s="145"/>
      <c r="K76" s="116">
        <f t="shared" si="2"/>
        <v>0</v>
      </c>
      <c r="L76" s="7"/>
      <c r="M76" s="7"/>
      <c r="N76" s="53"/>
    </row>
    <row r="77" spans="1:14" s="13" customFormat="1">
      <c r="B77" s="9"/>
      <c r="C77" s="9"/>
      <c r="D77" s="9"/>
      <c r="E77" s="9"/>
      <c r="F77" s="23"/>
      <c r="G77" s="23"/>
      <c r="H77" s="23"/>
      <c r="I77" s="76"/>
      <c r="J77" s="145"/>
      <c r="K77" s="116">
        <f t="shared" si="2"/>
        <v>0</v>
      </c>
      <c r="L77" s="7"/>
      <c r="M77" s="7"/>
      <c r="N77" s="53"/>
    </row>
    <row r="78" spans="1:14" s="13" customFormat="1">
      <c r="B78" s="9"/>
      <c r="C78" s="9"/>
      <c r="D78" s="9"/>
      <c r="E78" s="9"/>
      <c r="F78" s="23"/>
      <c r="G78" s="23"/>
      <c r="H78" s="23"/>
      <c r="I78" s="76"/>
      <c r="J78" s="145"/>
      <c r="K78" s="116">
        <f t="shared" si="2"/>
        <v>0</v>
      </c>
      <c r="L78" s="7"/>
      <c r="M78" s="7"/>
      <c r="N78" s="53"/>
    </row>
    <row r="79" spans="1:14" s="13" customFormat="1">
      <c r="B79" s="9"/>
      <c r="C79" s="9"/>
      <c r="D79" s="9"/>
      <c r="E79" s="9"/>
      <c r="F79" s="23"/>
      <c r="G79" s="23"/>
      <c r="H79" s="23"/>
      <c r="I79" s="76"/>
      <c r="J79" s="145"/>
      <c r="K79" s="116">
        <f t="shared" si="2"/>
        <v>0</v>
      </c>
      <c r="L79" s="7"/>
      <c r="M79" s="7"/>
      <c r="N79" s="53"/>
    </row>
    <row r="80" spans="1:14" s="13" customFormat="1">
      <c r="B80" s="9"/>
      <c r="C80" s="9"/>
      <c r="D80" s="9"/>
      <c r="E80" s="9"/>
      <c r="F80" s="23"/>
      <c r="G80" s="23"/>
      <c r="H80" s="23"/>
      <c r="I80" s="76"/>
      <c r="J80" s="145"/>
      <c r="K80" s="116">
        <f t="shared" si="2"/>
        <v>0</v>
      </c>
      <c r="L80" s="7"/>
      <c r="M80" s="7"/>
      <c r="N80" s="53"/>
    </row>
    <row r="81" spans="2:14" s="13" customFormat="1">
      <c r="B81" s="9"/>
      <c r="C81" s="9"/>
      <c r="D81" s="9"/>
      <c r="E81" s="9"/>
      <c r="F81" s="23"/>
      <c r="G81" s="23"/>
      <c r="H81" s="23"/>
      <c r="I81" s="76"/>
      <c r="J81" s="145"/>
      <c r="K81" s="116">
        <f t="shared" si="2"/>
        <v>0</v>
      </c>
      <c r="L81" s="7"/>
      <c r="M81" s="7"/>
      <c r="N81" s="53"/>
    </row>
    <row r="82" spans="2:14" s="13" customFormat="1">
      <c r="B82" s="9"/>
      <c r="C82" s="9"/>
      <c r="D82" s="9"/>
      <c r="E82" s="9"/>
      <c r="F82" s="23"/>
      <c r="G82" s="23"/>
      <c r="H82" s="23"/>
      <c r="I82" s="76"/>
      <c r="J82" s="145"/>
      <c r="K82" s="116">
        <f t="shared" si="2"/>
        <v>0</v>
      </c>
      <c r="L82" s="7"/>
      <c r="M82" s="7"/>
      <c r="N82" s="53"/>
    </row>
    <row r="83" spans="2:14" s="13" customFormat="1">
      <c r="B83" s="10"/>
      <c r="C83" s="11"/>
      <c r="D83" s="11"/>
      <c r="E83" s="10"/>
      <c r="F83" s="24"/>
      <c r="G83" s="24"/>
      <c r="H83" s="24"/>
      <c r="I83" s="77"/>
      <c r="J83" s="145"/>
      <c r="K83" s="116">
        <f t="shared" si="2"/>
        <v>0</v>
      </c>
      <c r="L83" s="12"/>
      <c r="M83" s="12"/>
      <c r="N83" s="53"/>
    </row>
    <row r="84" spans="2:14" s="13" customFormat="1">
      <c r="B84" s="14"/>
      <c r="E84" s="14"/>
      <c r="F84" s="14"/>
      <c r="G84" s="14"/>
      <c r="H84" s="14"/>
      <c r="I84" s="78"/>
      <c r="J84" s="78"/>
      <c r="K84" s="78"/>
      <c r="L84" s="14"/>
      <c r="N84" s="53"/>
    </row>
    <row r="85" spans="2:14" s="13" customFormat="1">
      <c r="B85" s="15"/>
      <c r="C85" s="14"/>
      <c r="D85" s="14"/>
      <c r="E85" s="14"/>
      <c r="F85" s="14"/>
      <c r="G85" s="14"/>
      <c r="H85" s="14"/>
      <c r="I85" s="78"/>
      <c r="J85" s="78"/>
      <c r="K85" s="78"/>
      <c r="L85" s="14"/>
      <c r="N85" s="53"/>
    </row>
    <row r="86" spans="2:14" s="13" customFormat="1">
      <c r="B86" s="14"/>
      <c r="C86" s="14"/>
      <c r="D86" s="14"/>
      <c r="E86" s="14"/>
      <c r="F86" s="14"/>
      <c r="G86" s="14"/>
      <c r="H86" s="14"/>
      <c r="I86" s="78"/>
      <c r="J86" s="78"/>
      <c r="K86" s="78"/>
      <c r="L86" s="14"/>
      <c r="N86" s="53"/>
    </row>
    <row r="87" spans="2:14" s="13" customFormat="1">
      <c r="B87" s="14"/>
      <c r="C87" s="14"/>
      <c r="D87" s="14"/>
      <c r="E87" s="14"/>
      <c r="F87" s="14"/>
      <c r="G87" s="14"/>
      <c r="H87" s="14"/>
      <c r="I87" s="78"/>
      <c r="J87" s="78"/>
      <c r="K87" s="78"/>
      <c r="L87" s="14"/>
      <c r="N87" s="53"/>
    </row>
    <row r="88" spans="2:14" s="13" customFormat="1">
      <c r="B88" s="14"/>
      <c r="C88" s="14"/>
      <c r="D88" s="14"/>
      <c r="E88" s="14"/>
      <c r="F88" s="14"/>
      <c r="G88" s="14"/>
      <c r="H88" s="14"/>
      <c r="I88" s="78"/>
      <c r="J88" s="78"/>
      <c r="K88" s="78"/>
      <c r="L88" s="14"/>
      <c r="N88" s="53"/>
    </row>
    <row r="89" spans="2:14">
      <c r="B89" s="14"/>
      <c r="C89" s="14"/>
      <c r="D89" s="14"/>
      <c r="E89" s="14"/>
      <c r="F89" s="14"/>
      <c r="G89" s="14"/>
      <c r="H89" s="14"/>
      <c r="I89" s="78"/>
      <c r="J89" s="78"/>
      <c r="K89" s="78"/>
      <c r="L89" s="14"/>
    </row>
    <row r="90" spans="2:14">
      <c r="B90" s="14"/>
      <c r="C90" s="14"/>
      <c r="D90" s="14"/>
      <c r="E90" s="14"/>
      <c r="F90" s="14"/>
      <c r="G90" s="14"/>
      <c r="H90" s="14"/>
      <c r="I90" s="78"/>
      <c r="J90" s="78"/>
      <c r="K90" s="78"/>
      <c r="L90" s="14"/>
    </row>
    <row r="91" spans="2:14">
      <c r="B91" s="14"/>
      <c r="C91" s="14"/>
      <c r="D91" s="14"/>
      <c r="E91" s="14"/>
      <c r="F91" s="14"/>
      <c r="G91" s="14"/>
      <c r="H91" s="14"/>
      <c r="I91" s="78"/>
      <c r="J91" s="78"/>
      <c r="K91" s="78"/>
      <c r="L91" s="14"/>
    </row>
    <row r="92" spans="2:14">
      <c r="B92" s="14"/>
      <c r="C92" s="14"/>
      <c r="D92" s="14"/>
      <c r="E92" s="14"/>
      <c r="F92" s="14"/>
      <c r="G92" s="14"/>
      <c r="H92" s="14"/>
      <c r="I92" s="78"/>
      <c r="J92" s="78"/>
      <c r="K92" s="78"/>
      <c r="L92" s="14"/>
    </row>
    <row r="93" spans="2:14">
      <c r="B93" s="14"/>
      <c r="C93" s="14"/>
      <c r="D93" s="14"/>
      <c r="E93" s="14"/>
      <c r="F93" s="14"/>
      <c r="G93" s="14"/>
      <c r="H93" s="14"/>
      <c r="I93" s="78"/>
      <c r="J93" s="78"/>
      <c r="K93" s="78"/>
      <c r="L93" s="14"/>
    </row>
    <row r="94" spans="2:14">
      <c r="B94" s="14"/>
      <c r="C94" s="14"/>
      <c r="D94" s="14"/>
      <c r="E94" s="14"/>
      <c r="F94" s="14"/>
      <c r="G94" s="14"/>
      <c r="H94" s="14"/>
      <c r="I94" s="78"/>
      <c r="J94" s="78"/>
      <c r="K94" s="78"/>
      <c r="L94" s="14"/>
    </row>
  </sheetData>
  <mergeCells count="2">
    <mergeCell ref="B3:L3"/>
    <mergeCell ref="N33:S33"/>
  </mergeCells>
  <hyperlinks>
    <hyperlink ref="E6" r:id="rId1" xr:uid="{2286D4CD-E4B8-4F4A-B897-242FA0A9AD67}"/>
    <hyperlink ref="E36" r:id="rId2" xr:uid="{4407F599-FC6E-4447-BC1A-C85588A94031}"/>
    <hyperlink ref="E42" r:id="rId3" xr:uid="{62236298-909D-42A1-9791-8C1B1DEC329E}"/>
    <hyperlink ref="E61" r:id="rId4" xr:uid="{2F756E9C-2540-437C-A5A2-DDE4F99CAF3E}"/>
    <hyperlink ref="E62" r:id="rId5" xr:uid="{33363BF9-2CA4-4812-BC0E-2389AF2DF049}"/>
    <hyperlink ref="E7" r:id="rId6" xr:uid="{3FCF0F5A-DB0A-45AA-B081-595D8863F447}"/>
    <hyperlink ref="E9" r:id="rId7" xr:uid="{82399CC3-98E3-4D90-B412-84E198D48982}"/>
    <hyperlink ref="E34" r:id="rId8" xr:uid="{ED0ADE8B-7B0D-4157-9B21-5AEA092EDA98}"/>
    <hyperlink ref="E43" r:id="rId9" xr:uid="{12DE7064-9720-492D-8BB8-0487CEAB63F9}"/>
    <hyperlink ref="E52" r:id="rId10" xr:uid="{75E065E5-86CF-482F-B563-3FC157D42AED}"/>
    <hyperlink ref="E14" r:id="rId11" xr:uid="{05D59A63-2429-4992-BCFE-893EB8E3580C}"/>
    <hyperlink ref="E22" r:id="rId12" xr:uid="{F81231F3-6493-4A1C-B90D-EAD16F3413D8}"/>
    <hyperlink ref="E23" r:id="rId13" xr:uid="{2D621849-E309-4606-BB02-1C0D870081EF}"/>
    <hyperlink ref="E27" r:id="rId14" xr:uid="{7EC9CE40-1D30-434A-8ED4-6303B0FD54E9}"/>
    <hyperlink ref="E18" r:id="rId15" xr:uid="{CB122C20-6985-47EE-865C-6A4A8DE3F962}"/>
    <hyperlink ref="E16" r:id="rId16" display="volkwaterproofing@gmail.com" xr:uid="{6EFEDCFB-F010-4C8E-88A9-8FE73E919D9F}"/>
    <hyperlink ref="E53" r:id="rId17" xr:uid="{86F751A6-AFB6-4937-AAB2-4F4DC787A869}"/>
    <hyperlink ref="E44" r:id="rId18" xr:uid="{87B5C3D4-6B65-454B-ABD0-9E53C916EB23}"/>
    <hyperlink ref="E15" r:id="rId19" xr:uid="{F3B208B1-2571-4849-822B-4886D2C6910D}"/>
    <hyperlink ref="E20" r:id="rId20" xr:uid="{3F5013D7-191A-4BBE-BB85-6B074C41BC51}"/>
    <hyperlink ref="E10" r:id="rId21" xr:uid="{80800040-D70C-4471-9C6E-F6027847642C}"/>
    <hyperlink ref="E11" r:id="rId22" xr:uid="{3D59A7F0-DC1D-4139-AC93-90ED0F8F4829}"/>
    <hyperlink ref="E35" r:id="rId23" xr:uid="{45BD74A5-98A7-4259-A679-7A1A0BECB1AF}"/>
    <hyperlink ref="E66" r:id="rId24" xr:uid="{592739C1-C9A8-4034-9FBA-FD3C88C4F061}"/>
    <hyperlink ref="E67" r:id="rId25" xr:uid="{80296872-69FD-4E28-87AB-0ED67A91B080}"/>
    <hyperlink ref="E39" r:id="rId26" xr:uid="{45ACB4EE-0D0D-48E3-8ABD-F53B0ECC1C34}"/>
    <hyperlink ref="E49" r:id="rId27" xr:uid="{015773DE-9729-49F9-A49A-40607C85ADDC}"/>
    <hyperlink ref="E50" r:id="rId28" xr:uid="{E4EF843F-D324-4F96-8628-E5F75FAB298D}"/>
    <hyperlink ref="E51" r:id="rId29" display="admin@taylorsuperclad.co.nz" xr:uid="{1646461F-4B93-4143-B7A8-35DB768E30AD}"/>
    <hyperlink ref="E69" r:id="rId30" xr:uid="{2B0BDCB0-B274-4A13-8FD5-FA983541781E}"/>
    <hyperlink ref="E17" r:id="rId31" xr:uid="{B9FE3A2E-979F-485A-80A4-695A4CBC0F9E}"/>
    <hyperlink ref="E59" r:id="rId32" display="messaging-service@post.servicem8.com" xr:uid="{2D3F0A21-B3D7-4466-83DC-E0667700AEF6}"/>
    <hyperlink ref="E48" r:id="rId33" xr:uid="{A595AC22-B484-4DDA-AB3E-B9F6213D241B}"/>
    <hyperlink ref="E29" r:id="rId34" xr:uid="{879D4B79-4128-48E7-869F-B29421235091}"/>
    <hyperlink ref="E28" r:id="rId35" xr:uid="{17CD4B59-1954-4E7E-BE56-FD9A00C7C07A}"/>
    <hyperlink ref="E26" r:id="rId36" xr:uid="{1691A211-3E14-45B2-B2EE-0EB1DE63B872}"/>
    <hyperlink ref="E46" r:id="rId37" xr:uid="{0438298B-CC6F-48A8-A97F-2014B8A1CD42}"/>
    <hyperlink ref="E45" r:id="rId38" xr:uid="{DC984D1C-3D18-4A51-A18D-D83EBBD4DDD5}"/>
    <hyperlink ref="E47" r:id="rId39" xr:uid="{DE66DC4B-1486-4A25-9516-BB9DE092CFD1}"/>
    <hyperlink ref="E8" r:id="rId40" xr:uid="{E60B908A-4E5E-4EDA-A996-E8626725E9AD}"/>
    <hyperlink ref="C8" r:id="rId41" display="eddie@brillbricklaying.co.nz" xr:uid="{2788A8E5-C5E5-402D-920D-ED6715124AAD}"/>
    <hyperlink ref="E54" r:id="rId42" xr:uid="{A668CC36-17C5-4BF4-B9F1-A7548F4B28A8}"/>
    <hyperlink ref="E55" r:id="rId43" xr:uid="{D2EFCCE3-5B3E-4DBE-93D5-CC44B72FD9BF}"/>
    <hyperlink ref="E56" r:id="rId44" xr:uid="{AB0FF7BF-39A0-4D73-932A-5470702674F6}"/>
    <hyperlink ref="C41" r:id="rId45" display="dean@polishedconcrete.co.nz" xr:uid="{2EF5C4C9-9BF6-4306-A5A4-DA5C23193314}"/>
    <hyperlink ref="E41" r:id="rId46" xr:uid="{D80EC25B-C450-494D-A888-130878BA0BE4}"/>
    <hyperlink ref="E58" r:id="rId47" xr:uid="{8F50537E-BB1D-458C-B121-6C55E84B42EA}"/>
    <hyperlink ref="E71" r:id="rId48" xr:uid="{3FC09D1B-1674-473E-8F91-16EE9CDB7C62}"/>
  </hyperlinks>
  <pageMargins left="0.7" right="0.7" top="0.75" bottom="0.75" header="0.3" footer="0.3"/>
  <pageSetup orientation="portrait" horizontalDpi="1200" verticalDpi="1200" r:id="rId49"/>
  <drawing r:id="rId50"/>
  <legacyDrawing r:id="rId5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0"/>
  <sheetViews>
    <sheetView workbookViewId="0">
      <selection activeCell="B22" sqref="B22"/>
    </sheetView>
  </sheetViews>
  <sheetFormatPr defaultColWidth="9.1796875" defaultRowHeight="14.5"/>
  <cols>
    <col min="1" max="1" width="9.1796875" style="1"/>
    <col min="2" max="2" width="34.1796875" style="1" bestFit="1" customWidth="1"/>
    <col min="3" max="4" width="30.7265625" style="1" customWidth="1"/>
    <col min="5" max="5" width="21.7265625" style="1" customWidth="1"/>
    <col min="6" max="6" width="25" style="1" customWidth="1"/>
    <col min="7" max="7" width="27.54296875" style="1" customWidth="1"/>
    <col min="8" max="16384" width="9.1796875" style="1"/>
  </cols>
  <sheetData>
    <row r="1" spans="2:7">
      <c r="B1" s="17" t="s">
        <v>275</v>
      </c>
      <c r="E1" s="1" t="s">
        <v>276</v>
      </c>
    </row>
    <row r="2" spans="2:7">
      <c r="B2" s="18"/>
      <c r="C2" s="18" t="s">
        <v>277</v>
      </c>
      <c r="D2" s="18" t="s">
        <v>278</v>
      </c>
      <c r="E2" s="18" t="s">
        <v>4</v>
      </c>
      <c r="F2" s="18" t="s">
        <v>8</v>
      </c>
      <c r="G2" s="18" t="s">
        <v>5</v>
      </c>
    </row>
    <row r="3" spans="2:7">
      <c r="B3" s="3" t="s">
        <v>279</v>
      </c>
      <c r="C3" s="3"/>
      <c r="D3" s="3"/>
      <c r="E3" s="21"/>
      <c r="F3" s="22"/>
      <c r="G3" s="3"/>
    </row>
    <row r="4" spans="2:7">
      <c r="B4" s="3" t="s">
        <v>280</v>
      </c>
      <c r="C4" s="3"/>
      <c r="D4" s="3"/>
      <c r="E4" s="3"/>
      <c r="F4" s="20"/>
      <c r="G4" s="19"/>
    </row>
    <row r="5" spans="2:7">
      <c r="B5" s="3" t="s">
        <v>281</v>
      </c>
      <c r="C5" s="3"/>
      <c r="D5" s="3"/>
      <c r="E5" s="3"/>
      <c r="F5" s="3"/>
      <c r="G5" s="19"/>
    </row>
    <row r="6" spans="2:7">
      <c r="B6" s="3" t="s">
        <v>282</v>
      </c>
      <c r="C6" s="3"/>
      <c r="D6" s="3"/>
      <c r="E6" s="3"/>
      <c r="F6" s="3"/>
      <c r="G6" s="3"/>
    </row>
    <row r="7" spans="2:7">
      <c r="B7" s="3"/>
      <c r="C7" s="3"/>
      <c r="D7" s="3"/>
      <c r="E7" s="3"/>
      <c r="F7" s="3"/>
      <c r="G7" s="3"/>
    </row>
    <row r="8" spans="2:7">
      <c r="B8" s="3" t="s">
        <v>283</v>
      </c>
      <c r="C8" s="3"/>
      <c r="D8" s="3"/>
      <c r="E8" s="3"/>
      <c r="F8" s="3"/>
      <c r="G8" s="3"/>
    </row>
    <row r="9" spans="2:7">
      <c r="B9" s="3" t="s">
        <v>284</v>
      </c>
      <c r="C9" s="3"/>
      <c r="D9" s="3"/>
      <c r="E9" s="3"/>
      <c r="F9" s="3"/>
      <c r="G9" s="3"/>
    </row>
    <row r="10" spans="2:7">
      <c r="B10" s="3" t="s">
        <v>285</v>
      </c>
      <c r="C10" s="3"/>
      <c r="D10" s="3"/>
      <c r="E10" s="3"/>
      <c r="F10" s="3"/>
      <c r="G10" s="3"/>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1"/>
  <sheetViews>
    <sheetView workbookViewId="0">
      <selection activeCell="C16" sqref="C16"/>
    </sheetView>
  </sheetViews>
  <sheetFormatPr defaultRowHeight="14.5"/>
  <cols>
    <col min="3" max="3" width="26" customWidth="1"/>
    <col min="4" max="4" width="37.54296875" bestFit="1" customWidth="1"/>
    <col min="5" max="5" width="22.7265625" customWidth="1"/>
    <col min="6" max="6" width="16" bestFit="1" customWidth="1"/>
  </cols>
  <sheetData>
    <row r="1" spans="2:6">
      <c r="B1" s="4" t="s">
        <v>286</v>
      </c>
    </row>
    <row r="4" spans="2:6">
      <c r="C4" s="5" t="s">
        <v>287</v>
      </c>
      <c r="D4" s="5" t="s">
        <v>288</v>
      </c>
      <c r="E4" s="5" t="s">
        <v>289</v>
      </c>
      <c r="F4" s="5" t="s">
        <v>290</v>
      </c>
    </row>
    <row r="5" spans="2:6">
      <c r="C5" s="2"/>
      <c r="D5" s="2"/>
      <c r="E5" s="2"/>
      <c r="F5" s="2"/>
    </row>
    <row r="6" spans="2:6">
      <c r="C6" s="2" t="s">
        <v>291</v>
      </c>
      <c r="D6" s="2"/>
      <c r="E6" s="2"/>
      <c r="F6" s="3"/>
    </row>
    <row r="7" spans="2:6" ht="29">
      <c r="C7" s="3" t="s">
        <v>292</v>
      </c>
      <c r="D7" s="2" t="s">
        <v>293</v>
      </c>
      <c r="E7" s="2"/>
      <c r="F7" s="2"/>
    </row>
    <row r="8" spans="2:6" ht="29">
      <c r="C8" s="3" t="s">
        <v>294</v>
      </c>
      <c r="D8" s="2" t="s">
        <v>295</v>
      </c>
      <c r="E8" s="2"/>
      <c r="F8" s="2"/>
    </row>
    <row r="9" spans="2:6" ht="72.5">
      <c r="C9" s="3" t="s">
        <v>296</v>
      </c>
      <c r="D9" s="2" t="s">
        <v>297</v>
      </c>
      <c r="E9" s="3" t="s">
        <v>298</v>
      </c>
      <c r="F9" s="2"/>
    </row>
    <row r="10" spans="2:6">
      <c r="C10" s="2" t="s">
        <v>299</v>
      </c>
      <c r="D10" s="2" t="s">
        <v>300</v>
      </c>
      <c r="E10" s="2"/>
      <c r="F10" s="2"/>
    </row>
    <row r="11" spans="2:6">
      <c r="C11" s="2" t="s">
        <v>301</v>
      </c>
      <c r="D11" s="2" t="s">
        <v>302</v>
      </c>
      <c r="E11" s="2"/>
      <c r="F11" s="3"/>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933C18E6067C468ECBFD8590F05C9A" ma:contentTypeVersion="18" ma:contentTypeDescription="Create a new document." ma:contentTypeScope="" ma:versionID="f728f7d50d72f3f767798b7b234cbcd7">
  <xsd:schema xmlns:xsd="http://www.w3.org/2001/XMLSchema" xmlns:xs="http://www.w3.org/2001/XMLSchema" xmlns:p="http://schemas.microsoft.com/office/2006/metadata/properties" xmlns:ns2="42ae2c86-31e9-4ded-a5e2-fcff4053f74a" xmlns:ns3="8f7475d2-e082-4974-9b70-8e462dedca26" targetNamespace="http://schemas.microsoft.com/office/2006/metadata/properties" ma:root="true" ma:fieldsID="b4ca7b8a549a73f64b1ecd8fc3c350c9" ns2:_="" ns3:_="">
    <xsd:import namespace="42ae2c86-31e9-4ded-a5e2-fcff4053f74a"/>
    <xsd:import namespace="8f7475d2-e082-4974-9b70-8e462dedca2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ae2c86-31e9-4ded-a5e2-fcff4053f7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e2cae05-e8b1-4e62-a3d4-3b2474486a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f7475d2-e082-4974-9b70-8e462dedca26"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8ea989b3-eec6-4dc3-a249-30629c75e663}" ma:internalName="TaxCatchAll" ma:showField="CatchAllData" ma:web="8f7475d2-e082-4974-9b70-8e462dedca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2ae2c86-31e9-4ded-a5e2-fcff4053f74a">
      <Terms xmlns="http://schemas.microsoft.com/office/infopath/2007/PartnerControls"/>
    </lcf76f155ced4ddcb4097134ff3c332f>
    <TaxCatchAll xmlns="8f7475d2-e082-4974-9b70-8e462dedca26" xsi:nil="true"/>
  </documentManagement>
</p:properties>
</file>

<file path=customXml/itemProps1.xml><?xml version="1.0" encoding="utf-8"?>
<ds:datastoreItem xmlns:ds="http://schemas.openxmlformats.org/officeDocument/2006/customXml" ds:itemID="{AF59DD39-DDD2-4D3B-B8C0-23D7D66390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2ae2c86-31e9-4ded-a5e2-fcff4053f74a"/>
    <ds:schemaRef ds:uri="8f7475d2-e082-4974-9b70-8e462dedca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B63783-1F90-4744-B298-EEE36E322E1E}">
  <ds:schemaRefs>
    <ds:schemaRef ds:uri="http://schemas.microsoft.com/sharepoint/v3/contenttype/forms"/>
  </ds:schemaRefs>
</ds:datastoreItem>
</file>

<file path=customXml/itemProps3.xml><?xml version="1.0" encoding="utf-8"?>
<ds:datastoreItem xmlns:ds="http://schemas.openxmlformats.org/officeDocument/2006/customXml" ds:itemID="{7B3DB311-15F2-405E-96BA-B1A3F3A611F1}">
  <ds:schemaRefs>
    <ds:schemaRef ds:uri="http://schemas.microsoft.com/office/2006/metadata/properties"/>
    <ds:schemaRef ds:uri="http://schemas.microsoft.com/office/infopath/2007/PartnerControls"/>
    <ds:schemaRef ds:uri="42ae2c86-31e9-4ded-a5e2-fcff4053f74a"/>
    <ds:schemaRef ds:uri="8f7475d2-e082-4974-9b70-8e462dedca2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Contractors</vt:lpstr>
      <vt:lpstr>Check list</vt:lpstr>
      <vt:lpstr>Health and Safety</vt:lpstr>
    </vt:vector>
  </TitlesOfParts>
  <Manager/>
  <Company>SPecialiST RePack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ivanov</dc:creator>
  <cp:keywords/>
  <dc:description/>
  <cp:lastModifiedBy>Viacheslav Vorozhbit</cp:lastModifiedBy>
  <cp:revision/>
  <dcterms:created xsi:type="dcterms:W3CDTF">2018-03-07T20:07:33Z</dcterms:created>
  <dcterms:modified xsi:type="dcterms:W3CDTF">2026-06-18T05:35:12Z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0x01010052933C18E6067C468ECBFD8590F05C9A</vt:lpwstr>
  </property>
  <property fmtid="{D5CDD505-2E9C-101B-9397-08002B2CF9AE}" pid="3" name="MediaServiceImageTags">
    <vt:lpwstr/>
  </property>
  <property fmtid="{D5CDD505-2E9C-101B-9397-08002B2CF9AE}" pid="4" name="MSIP_Label_c96ed6d7-747c-41fd-b042-ff14484edc24_Enabled">
    <vt:lpwstr>true</vt:lpwstr>
  </property>
  <property fmtid="{D5CDD505-2E9C-101B-9397-08002B2CF9AE}" pid="5" name="MSIP_Label_c96ed6d7-747c-41fd-b042-ff14484edc24_SetDate">
    <vt:lpwstr>2026-06-18T05:35:12Z</vt:lpwstr>
  </property>
  <property fmtid="{D5CDD505-2E9C-101B-9397-08002B2CF9AE}" pid="6" name="MSIP_Label_c96ed6d7-747c-41fd-b042-ff14484edc24_Method">
    <vt:lpwstr>Standard</vt:lpwstr>
  </property>
  <property fmtid="{D5CDD505-2E9C-101B-9397-08002B2CF9AE}" pid="7" name="MSIP_Label_c96ed6d7-747c-41fd-b042-ff14484edc24_Name">
    <vt:lpwstr>defa4170-0d19-0005-0004-bc88714345d2</vt:lpwstr>
  </property>
  <property fmtid="{D5CDD505-2E9C-101B-9397-08002B2CF9AE}" pid="8" name="MSIP_Label_c96ed6d7-747c-41fd-b042-ff14484edc24_SiteId">
    <vt:lpwstr>6a425d0d-58f2-4e36-8689-10002b2ec567</vt:lpwstr>
  </property>
  <property fmtid="{D5CDD505-2E9C-101B-9397-08002B2CF9AE}" pid="9" name="MSIP_Label_c96ed6d7-747c-41fd-b042-ff14484edc24_ActionId">
    <vt:lpwstr>55b3ef93-83df-4629-a916-59681fe2143e</vt:lpwstr>
  </property>
  <property fmtid="{D5CDD505-2E9C-101B-9397-08002B2CF9AE}" pid="10" name="MSIP_Label_c96ed6d7-747c-41fd-b042-ff14484edc24_ContentBits">
    <vt:lpwstr>0</vt:lpwstr>
  </property>
  <property fmtid="{D5CDD505-2E9C-101B-9397-08002B2CF9AE}" pid="11" name="MSIP_Label_c96ed6d7-747c-41fd-b042-ff14484edc24_Tag">
    <vt:lpwstr>10, 3, 0, 1</vt:lpwstr>
  </property>
</Properties>
</file>